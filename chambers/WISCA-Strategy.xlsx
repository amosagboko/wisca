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CC\Documents\WISCA\SOP DOCS\"/>
    </mc:Choice>
  </mc:AlternateContent>
  <xr:revisionPtr revIDLastSave="0" documentId="8_{A39B8B16-D07A-4399-A1D7-8AD6C6D9320D}" xr6:coauthVersionLast="47" xr6:coauthVersionMax="47" xr10:uidLastSave="{00000000-0000-0000-0000-000000000000}"/>
  <bookViews>
    <workbookView xWindow="-108" yWindow="-108" windowWidth="23256" windowHeight="14976" xr2:uid="{00000000-000D-0000-FFFF-FFFF00000000}"/>
  </bookViews>
  <sheets>
    <sheet name="Executive Dashboard" sheetId="1" r:id="rId1"/>
    <sheet name="Academic Excellence" sheetId="2" r:id="rId2"/>
    <sheet name="Christocentric Education" sheetId="3" r:id="rId3"/>
    <sheet name="Digital Innovation" sheetId="4" r:id="rId4"/>
    <sheet name="Master KPI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5" l="1"/>
  <c r="J23" i="5" s="1"/>
  <c r="I10" i="4" s="1"/>
  <c r="I22" i="5"/>
  <c r="J22" i="5" s="1"/>
  <c r="I9" i="4" s="1"/>
  <c r="I21" i="5"/>
  <c r="J21" i="5" s="1"/>
  <c r="I8" i="4" s="1"/>
  <c r="I20" i="5"/>
  <c r="J20" i="5" s="1"/>
  <c r="J19" i="5"/>
  <c r="I6" i="4" s="1"/>
  <c r="I19" i="5"/>
  <c r="J18" i="5"/>
  <c r="I5" i="4" s="1"/>
  <c r="I18" i="5"/>
  <c r="I17" i="5"/>
  <c r="J17" i="5" s="1"/>
  <c r="I11" i="3" s="1"/>
  <c r="J16" i="5"/>
  <c r="I16" i="5"/>
  <c r="J15" i="5"/>
  <c r="I15" i="5"/>
  <c r="J14" i="5"/>
  <c r="I14" i="5"/>
  <c r="I13" i="5"/>
  <c r="J13" i="5" s="1"/>
  <c r="J12" i="5"/>
  <c r="I12" i="5"/>
  <c r="J11" i="5"/>
  <c r="I11" i="5"/>
  <c r="J10" i="5"/>
  <c r="I10" i="5"/>
  <c r="I9" i="5"/>
  <c r="J9" i="5" s="1"/>
  <c r="I11" i="2" s="1"/>
  <c r="J8" i="5"/>
  <c r="I8" i="5"/>
  <c r="J7" i="5"/>
  <c r="I9" i="2" s="1"/>
  <c r="I7" i="5"/>
  <c r="J6" i="5"/>
  <c r="I6" i="5"/>
  <c r="I5" i="5"/>
  <c r="J5" i="5" s="1"/>
  <c r="J4" i="5"/>
  <c r="I4" i="5"/>
  <c r="J3" i="5"/>
  <c r="I3" i="5"/>
  <c r="K10" i="4"/>
  <c r="J10" i="4"/>
  <c r="H10" i="4"/>
  <c r="G10" i="4"/>
  <c r="F10" i="4"/>
  <c r="E10" i="4"/>
  <c r="D10" i="4"/>
  <c r="C10" i="4"/>
  <c r="B10" i="4"/>
  <c r="A10" i="4"/>
  <c r="K9" i="4"/>
  <c r="J9" i="4"/>
  <c r="H9" i="4"/>
  <c r="G9" i="4"/>
  <c r="F9" i="4"/>
  <c r="E9" i="4"/>
  <c r="D9" i="4"/>
  <c r="C9" i="4"/>
  <c r="B9" i="4"/>
  <c r="A9" i="4"/>
  <c r="K8" i="4"/>
  <c r="J8" i="4"/>
  <c r="H8" i="4"/>
  <c r="G8" i="4"/>
  <c r="F8" i="4"/>
  <c r="E8" i="4"/>
  <c r="D8" i="4"/>
  <c r="C8" i="4"/>
  <c r="B8" i="4"/>
  <c r="A8" i="4"/>
  <c r="K7" i="4"/>
  <c r="J7" i="4"/>
  <c r="H7" i="4"/>
  <c r="G7" i="4"/>
  <c r="F7" i="4"/>
  <c r="E7" i="4"/>
  <c r="D7" i="4"/>
  <c r="C7" i="4"/>
  <c r="B7" i="4"/>
  <c r="A7" i="4"/>
  <c r="K6" i="4"/>
  <c r="J6" i="4"/>
  <c r="H6" i="4"/>
  <c r="H13" i="4" s="1"/>
  <c r="I13" i="4" s="1"/>
  <c r="G6" i="4"/>
  <c r="F6" i="4"/>
  <c r="E6" i="4"/>
  <c r="D6" i="4"/>
  <c r="C6" i="4"/>
  <c r="B6" i="4"/>
  <c r="A6" i="4"/>
  <c r="K5" i="4"/>
  <c r="J5" i="4"/>
  <c r="H5" i="4"/>
  <c r="G5" i="4"/>
  <c r="F5" i="4"/>
  <c r="E5" i="4"/>
  <c r="D5" i="4"/>
  <c r="C5" i="4"/>
  <c r="B5" i="4"/>
  <c r="A5" i="4"/>
  <c r="K11" i="3"/>
  <c r="J11" i="3"/>
  <c r="H11" i="3"/>
  <c r="G11" i="3"/>
  <c r="F11" i="3"/>
  <c r="E11" i="3"/>
  <c r="D11" i="3"/>
  <c r="C11" i="3"/>
  <c r="B11" i="3"/>
  <c r="A11" i="3"/>
  <c r="K10" i="3"/>
  <c r="J10" i="3"/>
  <c r="I10" i="3"/>
  <c r="H10" i="3"/>
  <c r="G10" i="3"/>
  <c r="F10" i="3"/>
  <c r="E10" i="3"/>
  <c r="D10" i="3"/>
  <c r="C10" i="3"/>
  <c r="B10" i="3"/>
  <c r="A10" i="3"/>
  <c r="K9" i="3"/>
  <c r="J9" i="3"/>
  <c r="I9" i="3"/>
  <c r="H9" i="3"/>
  <c r="G9" i="3"/>
  <c r="F9" i="3"/>
  <c r="E9" i="3"/>
  <c r="D9" i="3"/>
  <c r="C9" i="3"/>
  <c r="B9" i="3"/>
  <c r="A9" i="3"/>
  <c r="K8" i="3"/>
  <c r="J8" i="3"/>
  <c r="I8" i="3"/>
  <c r="H8" i="3"/>
  <c r="G8" i="3"/>
  <c r="F8" i="3"/>
  <c r="E8" i="3"/>
  <c r="D8" i="3"/>
  <c r="C8" i="3"/>
  <c r="B8" i="3"/>
  <c r="A8" i="3"/>
  <c r="K7" i="3"/>
  <c r="J7" i="3"/>
  <c r="H7" i="3"/>
  <c r="G7" i="3"/>
  <c r="F7" i="3"/>
  <c r="E7" i="3"/>
  <c r="D7" i="3"/>
  <c r="C7" i="3"/>
  <c r="B7" i="3"/>
  <c r="A7" i="3"/>
  <c r="K6" i="3"/>
  <c r="J6" i="3"/>
  <c r="I6" i="3"/>
  <c r="H6" i="3"/>
  <c r="G6" i="3"/>
  <c r="F6" i="3"/>
  <c r="E6" i="3"/>
  <c r="D6" i="3"/>
  <c r="C6" i="3"/>
  <c r="B6" i="3"/>
  <c r="A6" i="3"/>
  <c r="K5" i="3"/>
  <c r="J5" i="3"/>
  <c r="I5" i="3"/>
  <c r="H5" i="3"/>
  <c r="H14" i="3" s="1"/>
  <c r="I14" i="3" s="1"/>
  <c r="G5" i="3"/>
  <c r="F5" i="3"/>
  <c r="E5" i="3"/>
  <c r="D5" i="3"/>
  <c r="C5" i="3"/>
  <c r="B5" i="3"/>
  <c r="A5" i="3"/>
  <c r="H15" i="2"/>
  <c r="I15" i="2" s="1"/>
  <c r="K12" i="2"/>
  <c r="J12" i="2"/>
  <c r="I12" i="2"/>
  <c r="H12" i="2"/>
  <c r="G12" i="2"/>
  <c r="F12" i="2"/>
  <c r="E12" i="2"/>
  <c r="D12" i="2"/>
  <c r="C12" i="2"/>
  <c r="B12" i="2"/>
  <c r="A12" i="2"/>
  <c r="K11" i="2"/>
  <c r="J11" i="2"/>
  <c r="H11" i="2"/>
  <c r="G11" i="2"/>
  <c r="F11" i="2"/>
  <c r="E11" i="2"/>
  <c r="D11" i="2"/>
  <c r="C11" i="2"/>
  <c r="B11" i="2"/>
  <c r="A11" i="2"/>
  <c r="K10" i="2"/>
  <c r="J10" i="2"/>
  <c r="I10" i="2"/>
  <c r="H10" i="2"/>
  <c r="G10" i="2"/>
  <c r="F10" i="2"/>
  <c r="E10" i="2"/>
  <c r="D10" i="2"/>
  <c r="C10" i="2"/>
  <c r="B10" i="2"/>
  <c r="A10" i="2"/>
  <c r="K9" i="2"/>
  <c r="J9" i="2"/>
  <c r="H9" i="2"/>
  <c r="G9" i="2"/>
  <c r="F9" i="2"/>
  <c r="E9" i="2"/>
  <c r="D9" i="2"/>
  <c r="C9" i="2"/>
  <c r="B9" i="2"/>
  <c r="A9" i="2"/>
  <c r="K8" i="2"/>
  <c r="J8" i="2"/>
  <c r="I8" i="2"/>
  <c r="H8" i="2"/>
  <c r="G8" i="2"/>
  <c r="F8" i="2"/>
  <c r="E8" i="2"/>
  <c r="D8" i="2"/>
  <c r="C8" i="2"/>
  <c r="B8" i="2"/>
  <c r="A8" i="2"/>
  <c r="K7" i="2"/>
  <c r="J7" i="2"/>
  <c r="H7" i="2"/>
  <c r="G7" i="2"/>
  <c r="F7" i="2"/>
  <c r="E7" i="2"/>
  <c r="D7" i="2"/>
  <c r="C7" i="2"/>
  <c r="B7" i="2"/>
  <c r="A7" i="2"/>
  <c r="K6" i="2"/>
  <c r="J6" i="2"/>
  <c r="I6" i="2"/>
  <c r="H6" i="2"/>
  <c r="G6" i="2"/>
  <c r="F6" i="2"/>
  <c r="E6" i="2"/>
  <c r="D6" i="2"/>
  <c r="C6" i="2"/>
  <c r="B6" i="2"/>
  <c r="A6" i="2"/>
  <c r="K5" i="2"/>
  <c r="J5" i="2"/>
  <c r="I5" i="2"/>
  <c r="H5" i="2"/>
  <c r="G5" i="2"/>
  <c r="F5" i="2"/>
  <c r="E5" i="2"/>
  <c r="D5" i="2"/>
  <c r="C5" i="2"/>
  <c r="B5" i="2"/>
  <c r="A5" i="2"/>
  <c r="F14" i="1"/>
  <c r="G14" i="1" s="1"/>
  <c r="F13" i="1"/>
  <c r="G13" i="1" s="1"/>
  <c r="B13" i="1"/>
  <c r="F12" i="1"/>
  <c r="G12" i="1" s="1"/>
  <c r="B12" i="1"/>
  <c r="G11" i="1"/>
  <c r="F11" i="1"/>
  <c r="B11" i="1"/>
  <c r="B14" i="1" s="1"/>
  <c r="I7" i="1"/>
  <c r="E7" i="1"/>
  <c r="A7" i="1"/>
  <c r="I6" i="1"/>
  <c r="E6" i="1"/>
  <c r="A6" i="1"/>
  <c r="I7" i="2" l="1"/>
  <c r="E11" i="1"/>
  <c r="E14" i="1" s="1"/>
  <c r="C11" i="1"/>
  <c r="D11" i="1"/>
  <c r="D14" i="1" s="1"/>
  <c r="D13" i="1"/>
  <c r="C13" i="1"/>
  <c r="I7" i="4"/>
  <c r="E13" i="1"/>
  <c r="D12" i="1"/>
  <c r="E12" i="1"/>
  <c r="I7" i="3"/>
  <c r="C12" i="1"/>
  <c r="C14" i="1" l="1"/>
</calcChain>
</file>

<file path=xl/sharedStrings.xml><?xml version="1.0" encoding="utf-8"?>
<sst xmlns="http://schemas.openxmlformats.org/spreadsheetml/2006/main" count="246" uniqueCount="169">
  <si>
    <t>WISDOM CHRISTIAN ACADEMY, MAKURDI</t>
  </si>
  <si>
    <t>STRATEGIC PILLARS MONITORING DASHBOARD (BOARD &amp; PROPRIETOR EDITION)</t>
  </si>
  <si>
    <t>PILLAR 1: ACADEMIC EXCELLENCE</t>
  </si>
  <si>
    <t>PILLAR 2: CHRISTOCENTRIC EDUCATION</t>
  </si>
  <si>
    <t>PILLAR 3: DIGITAL INNOVATION</t>
  </si>
  <si>
    <t>Average Achievement Rate</t>
  </si>
  <si>
    <t>STRATEGIC PILLARS PERFORMANCE SUMMARY</t>
  </si>
  <si>
    <t>Pillar Name</t>
  </si>
  <si>
    <t>Total KPIs</t>
  </si>
  <si>
    <t>On Track</t>
  </si>
  <si>
    <t>Needs Attention</t>
  </si>
  <si>
    <t>Off Track</t>
  </si>
  <si>
    <t>Avg Achievement</t>
  </si>
  <si>
    <t>Overall Health Status</t>
  </si>
  <si>
    <t>Academic Excellence</t>
  </si>
  <si>
    <t>Christocentric Education</t>
  </si>
  <si>
    <t>Digital Innovation</t>
  </si>
  <si>
    <t>TOTAL SCHOOL WIDE</t>
  </si>
  <si>
    <t>WISDOM CHRISTIAN ACADEMY — ACADEMIC EXCELLENCE</t>
  </si>
  <si>
    <t>Strategic Objective &amp; Measurement Framework: Delivering rigorous, engaging, and future-ready learning experiences that foster critical thinking.</t>
  </si>
  <si>
    <t>KPI Code</t>
  </si>
  <si>
    <t>Measurable Activity</t>
  </si>
  <si>
    <t>Measurement Methodology &amp; Primary Data Source</t>
  </si>
  <si>
    <t>Calculation Formula / Standard</t>
  </si>
  <si>
    <t>Data Collection Instrument</t>
  </si>
  <si>
    <t>Target</t>
  </si>
  <si>
    <t>Actual</t>
  </si>
  <si>
    <t>Achievement Rate</t>
  </si>
  <si>
    <t>Status</t>
  </si>
  <si>
    <t>Responsible Owner</t>
  </si>
  <si>
    <t>Frequency</t>
  </si>
  <si>
    <t>Pillar Summary Performance</t>
  </si>
  <si>
    <t>Average Achievement:</t>
  </si>
  <si>
    <t>WISDOM CHRISTIAN ACADEMY — CHRISTOCENTRIC EDUCATION</t>
  </si>
  <si>
    <t>Strategic Objective &amp; Measurement Framework: Rooting every aspect of school life in God's Word, nurturing spiritual growth and Christian character.</t>
  </si>
  <si>
    <t>WISDOM CHRISTIAN ACADEMY — DIGITAL INNOVATION</t>
  </si>
  <si>
    <t>Strategic Objective &amp; Measurement Framework: Leveraging technology and innovative practices to create personalized, flexible digital learning.</t>
  </si>
  <si>
    <t>Wisdom Christian Academy, Makurdi - Master KPI Tracker &amp; Measurement Framework</t>
  </si>
  <si>
    <t>Pillar</t>
  </si>
  <si>
    <t>Measurable Activity / Metric</t>
  </si>
  <si>
    <t>Calculation Formula / Metric Standard</t>
  </si>
  <si>
    <t>Achievement %</t>
  </si>
  <si>
    <t>Owner &amp; Verifier</t>
  </si>
  <si>
    <t>AE-01</t>
  </si>
  <si>
    <t>Curriculum Coverage Rate</t>
  </si>
  <si>
    <t>Fortnightly audit comparing taught topics in student workbooks against approved termly Scheme of Work.</t>
  </si>
  <si>
    <t>(Topics Completed ÷ Planned Topics in Scheme) × 100</t>
  </si>
  <si>
    <t>Appendix C: Curriculum Coverage Tracker</t>
  </si>
  <si>
    <t>Fortnightly</t>
  </si>
  <si>
    <t>AE-02</t>
  </si>
  <si>
    <t>School-wide Examination Pass Rate</t>
  </si>
  <si>
    <t>Consolidated termly grading ledger across all subjects and phases (Primary &amp; Secondary).</t>
  </si>
  <si>
    <t>(Students scoring ≥50% in subject ÷ Total Enrolled) × 100</t>
  </si>
  <si>
    <t>Termly Broad Sheet &amp; Examination Result Ledger</t>
  </si>
  <si>
    <t>Termly</t>
  </si>
  <si>
    <t>AE-03</t>
  </si>
  <si>
    <t>Homework Completion Rate</t>
  </si>
  <si>
    <t>Weekly class register check tracking homework submission and correctness.</t>
  </si>
  <si>
    <t>(Assignments Completed On-Time ÷ Total Assignments Given) × 100</t>
  </si>
  <si>
    <t>Classroom Homework Log &amp; Portal Submission Log</t>
  </si>
  <si>
    <t>Weekly</t>
  </si>
  <si>
    <t>AE-04</t>
  </si>
  <si>
    <t>Learner Attendance Rate</t>
  </si>
  <si>
    <t>Daily morning roll call recorded on the digital portal register.</t>
  </si>
  <si>
    <t>(Days Present ÷ Total Instructional School Days) × 100</t>
  </si>
  <si>
    <t>Digital Attendance Register System</t>
  </si>
  <si>
    <t>AE-05</t>
  </si>
  <si>
    <t>Lesson Plan Submission &amp; Approval</t>
  </si>
  <si>
    <t>Weekly digital portal upload audit prior to Monday morning instruction.</t>
  </si>
  <si>
    <t>(Approved Lesson Plans Submitted On-Time ÷ Total Required) × 100</t>
  </si>
  <si>
    <t>Appendix A: Weekly Lesson Plan Tracker</t>
  </si>
  <si>
    <t>AE-06</t>
  </si>
  <si>
    <t>Effective or Better Lesson Observations</t>
  </si>
  <si>
    <t>Structured classroom observation scoring across 12 instructional standards.</t>
  </si>
  <si>
    <t>(Lessons Scored ≥3 'Secure' on Rubric ÷ Total Observed) × 100</t>
  </si>
  <si>
    <t>Appendix B: Classroom Observation Checklist</t>
  </si>
  <si>
    <t>AE-07</t>
  </si>
  <si>
    <t>At-Risk Learners with Active Plan</t>
  </si>
  <si>
    <t>Monthly audit of students performing below 50% or marked 'Concern' against active Tier 2/3 plans.</t>
  </si>
  <si>
    <t>(Identified Students with Active Support Plans ÷ Total Identified At-Risk) × 100</t>
  </si>
  <si>
    <t>Appendix F: Learner Academic Intervention Plan</t>
  </si>
  <si>
    <t>Learning Support Coordinator</t>
  </si>
  <si>
    <t>Monthly</t>
  </si>
  <si>
    <t>AE-08</t>
  </si>
  <si>
    <t>Reading Progress (≥1 Year Growth)</t>
  </si>
  <si>
    <t>Standardized diagnostic reading tests administered at start and end of academic session.</t>
  </si>
  <si>
    <t>(Students achieving ≥1.0 Grade-Level Increase ÷ Total Assessed) × 100</t>
  </si>
  <si>
    <t>Literacy Assessment Battery &amp; Reading Logs</t>
  </si>
  <si>
    <t>Literacy Coordinator</t>
  </si>
  <si>
    <t>CE-01</t>
  </si>
  <si>
    <t>Daily Devotion &amp; Chapel Attendance</t>
  </si>
  <si>
    <t>Daily attendance and active participation check during morning devotion and chapel services.</t>
  </si>
  <si>
    <t>(Students Present &amp; Participating ÷ Total School Roll) × 100</t>
  </si>
  <si>
    <t>Chapel Attendance Log &amp; Devotion Register</t>
  </si>
  <si>
    <t>Chaplain / Class Teachers</t>
  </si>
  <si>
    <t>Daily</t>
  </si>
  <si>
    <t>CE-02</t>
  </si>
  <si>
    <t>Christian Character Rating (Secure+)</t>
  </si>
  <si>
    <t>Termly holistic evaluation across 7 biblical character domains (Faith, Integrity, Excellence, etc.).</t>
  </si>
  <si>
    <t>(Students scoring Rating 3 'Secure' or 4 'Exemplary' ÷ Total Enrolled) × 100</t>
  </si>
  <si>
    <t>Appendix I: Character Development Rubric</t>
  </si>
  <si>
    <t>Class Teachers / Chaplain</t>
  </si>
  <si>
    <t>CE-03</t>
  </si>
  <si>
    <t>Community Service Hours per Learner</t>
  </si>
  <si>
    <t>Tracking student participation in school-organized outreach, peer tutoring, and campus service.</t>
  </si>
  <si>
    <t>Total Verified Service Hours ÷ Total Student Roll</t>
  </si>
  <si>
    <t>Student Leadership &amp; Service Activity Log</t>
  </si>
  <si>
    <t>Student Life Coordinator</t>
  </si>
  <si>
    <t>CE-04</t>
  </si>
  <si>
    <t>Resolved Restorative Discipline Cases</t>
  </si>
  <si>
    <t>Tracking disciplinary incidents managed through restorative reflection vs purely punitive measures.</t>
  </si>
  <si>
    <t>(Resolved Cases with Completed Restorative Agreement ÷ Total Incidents Logged) × 100</t>
  </si>
  <si>
    <t>Appendix G: Behaviour Incident &amp; Restorative Record</t>
  </si>
  <si>
    <t>CE-05</t>
  </si>
  <si>
    <t>Bullying Case Resolution Rate</t>
  </si>
  <si>
    <t>Formal tracking of reported bullying/cyberbullying incidents from report to verified follow-up closure.</t>
  </si>
  <si>
    <t>(Bullying Cases Fully Investigated &amp; Closed with Safety Plan ÷ Total Reported) × 100</t>
  </si>
  <si>
    <t>Appendix H: Anti-Bullying Case Management Form</t>
  </si>
  <si>
    <t>CE-06</t>
  </si>
  <si>
    <t>Scripture Memory &amp; Application Mastery</t>
  </si>
  <si>
    <t>Bi-weekly assessment of assigned termly Bible verses and contextual application reflection.</t>
  </si>
  <si>
    <t>(Students Reciting and Contextually Explaining Verses ÷ Total Assessed) × 100</t>
  </si>
  <si>
    <t>Scripture Memory Progress Log</t>
  </si>
  <si>
    <t>CE-07</t>
  </si>
  <si>
    <t>Parent-School Christian Culture Alignment</t>
  </si>
  <si>
    <t>Tracking parent endorsement and submission of the Christian Culture Partnership Commitment.</t>
  </si>
  <si>
    <t>(Signed Partnership Commitments Received ÷ Total Parent Body) × 100</t>
  </si>
  <si>
    <t>Appendix K: Parent-School Partnership Charter</t>
  </si>
  <si>
    <t>Parent Relations Lead</t>
  </si>
  <si>
    <t>DI-01</t>
  </si>
  <si>
    <t>Digital Portal &amp; LMS Adoption Rate</t>
  </si>
  <si>
    <t>Automated LMS activity logs tracking staff and student daily login, assignment submission, and resource access.</t>
  </si>
  <si>
    <t>(Active Weekly LMS Users ÷ Total Staff &amp; Students) × 100</t>
  </si>
  <si>
    <t>LMS System Usage Analytics Report</t>
  </si>
  <si>
    <t>DI-02</t>
  </si>
  <si>
    <t>Coding &amp; STEM Project Completion</t>
  </si>
  <si>
    <t>Assessment of student practical project submissions in computer coding, robotics, or design challenges.</t>
  </si>
  <si>
    <t>(Students Completing Approved STEM Project ÷ Total Enrolled) × 100</t>
  </si>
  <si>
    <t>STEM &amp; Coding Project Assessment Rubric</t>
  </si>
  <si>
    <t>STEM Coordinator</t>
  </si>
  <si>
    <t>DI-03</t>
  </si>
  <si>
    <t>AI &amp; Digital Ethics Compliance</t>
  </si>
  <si>
    <t>Audit of student digital submissions for academic integrity, AI disclosure, and cybersecurity guidelines.</t>
  </si>
  <si>
    <t>(Audited Assignments Free of Uncredited AI / Tech Violations ÷ Total Audited) × 100</t>
  </si>
  <si>
    <t>Digital Integrity Audit Log &amp; AI Detector Check</t>
  </si>
  <si>
    <t>DI-04</t>
  </si>
  <si>
    <t>Staff Digital Competency Mastery</t>
  </si>
  <si>
    <t>Termly practical evaluation of teaching staff in digital tool integration, e-assessment, and smart board use.</t>
  </si>
  <si>
    <t>(Staff Demonstrating Level 3+ Digital Competence ÷ Total Staff) × 100</t>
  </si>
  <si>
    <t>Teacher Digital Skills Proficiency Matrix</t>
  </si>
  <si>
    <t>DI-05</t>
  </si>
  <si>
    <t>E-Portfolio &amp; Digital Assessment Usage</t>
  </si>
  <si>
    <t>Verification of digital continuous assessment tasks and student e-portfolio updates.</t>
  </si>
  <si>
    <t>(Subjects Utilizing E-Assessment Tools ÷ Total Subjects Offered) × 100</t>
  </si>
  <si>
    <t>Academic Portal Assessment Audit</t>
  </si>
  <si>
    <t>DI-06</t>
  </si>
  <si>
    <t>Parent Portal Engagement Rate</t>
  </si>
  <si>
    <t>System log tracking unique parent logins to inspect report cards, attendance, and fee status.</t>
  </si>
  <si>
    <t>(Unique Active Parent Portal Logins ÷ Total Enrolled Families) × 100</t>
  </si>
  <si>
    <t>Parent Portal System Analytics</t>
  </si>
  <si>
    <t>Subject Leads / HoS</t>
  </si>
  <si>
    <t>HoDs/AHS</t>
  </si>
  <si>
    <t>Class Teachers / HoDs</t>
  </si>
  <si>
    <t>Admin Officer</t>
  </si>
  <si>
    <t>HoS/HoDs</t>
  </si>
  <si>
    <t>HoS</t>
  </si>
  <si>
    <t>HoS/Caplain</t>
  </si>
  <si>
    <t>Chaplain</t>
  </si>
  <si>
    <t>IT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</si>
</sst>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2"/>
      <color rgb="FFD1D5DB"/>
      <name val="Calibri"/>
    </font>
    <font>
      <sz val="9"/>
      <color rgb="FF555555"/>
      <name val="Calibri"/>
    </font>
    <font>
      <b/>
      <sz val="18"/>
      <color rgb="FF1B365D"/>
      <name val="Calibri"/>
    </font>
    <font>
      <b/>
      <sz val="11"/>
      <color rgb="FF2B4C7E"/>
      <name val="Calibri"/>
    </font>
    <font>
      <b/>
      <sz val="13"/>
      <color rgb="FF1B365D"/>
      <name val="Calibri"/>
    </font>
    <font>
      <b/>
      <sz val="10"/>
      <color rgb="FF000000"/>
      <name val="Calibri"/>
    </font>
    <font>
      <i/>
      <sz val="11"/>
      <color rgb="FFE0E6E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4C7E"/>
        <bgColor rgb="FF2B4C7E"/>
      </patternFill>
    </fill>
    <fill>
      <patternFill patternType="solid">
        <fgColor rgb="FFF8FAFC"/>
        <bgColor rgb="FFF8FAFC"/>
      </patternFill>
    </fill>
    <fill>
      <patternFill patternType="solid">
        <fgColor rgb="FF2E6B40"/>
        <bgColor rgb="FF2E6B40"/>
      </patternFill>
    </fill>
    <fill>
      <patternFill patternType="solid">
        <fgColor rgb="FF5B3D75"/>
        <bgColor rgb="FF5B3D75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B365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horizontal="center"/>
    </xf>
    <xf numFmtId="16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7" borderId="2" xfId="0" applyFont="1" applyFill="1" applyBorder="1"/>
    <xf numFmtId="0" fontId="8" fillId="7" borderId="2" xfId="0" applyFont="1" applyFill="1" applyBorder="1" applyAlignment="1">
      <alignment horizontal="center"/>
    </xf>
    <xf numFmtId="164" fontId="8" fillId="7" borderId="2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7" borderId="1" xfId="0" applyFont="1" applyFill="1" applyBorder="1"/>
    <xf numFmtId="164" fontId="8" fillId="7" borderId="1" xfId="0" applyNumberFormat="1" applyFont="1" applyFill="1" applyBorder="1"/>
    <xf numFmtId="0" fontId="8" fillId="7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6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Pillar Achievement Rate Comparison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Dashboard'!$F$10</c:f>
              <c:strCache>
                <c:ptCount val="1"/>
                <c:pt idx="0">
                  <c:v>Avg Achievement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'Executive Dashboard'!$A$11:$A$13</c:f>
              <c:strCache>
                <c:ptCount val="3"/>
                <c:pt idx="0">
                  <c:v>Academic Excellence</c:v>
                </c:pt>
                <c:pt idx="1">
                  <c:v>Christocentric Education</c:v>
                </c:pt>
                <c:pt idx="2">
                  <c:v>Digital Innovation</c:v>
                </c:pt>
              </c:strCache>
            </c:strRef>
          </c:cat>
          <c:val>
            <c:numRef>
              <c:f>'Executive Dashboard'!$F$11:$F$13</c:f>
              <c:numCache>
                <c:formatCode>0.0%</c:formatCode>
                <c:ptCount val="3"/>
                <c:pt idx="0">
                  <c:v>0.98874613003095968</c:v>
                </c:pt>
                <c:pt idx="1">
                  <c:v>1.0039879109538552</c:v>
                </c:pt>
                <c:pt idx="2">
                  <c:v>1.0097745384703589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1-4C32-A874-0C9762BA3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Strategic Pillar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Achievement %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sqref="A1:K1"/>
    </sheetView>
  </sheetViews>
  <sheetFormatPr defaultRowHeight="14.4" x14ac:dyDescent="0.3"/>
  <cols>
    <col min="1" max="1" width="30" customWidth="1"/>
    <col min="2" max="3" width="14" customWidth="1"/>
    <col min="4" max="4" width="16" customWidth="1"/>
    <col min="5" max="5" width="14" customWidth="1"/>
    <col min="6" max="6" width="20" customWidth="1"/>
    <col min="7" max="7" width="22" customWidth="1"/>
  </cols>
  <sheetData>
    <row r="1" spans="1:11" ht="28.05" customHeight="1" x14ac:dyDescent="0.3">
      <c r="A1" s="33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9.95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22.05" customHeight="1" x14ac:dyDescent="0.3">
      <c r="A4" s="32" t="s">
        <v>2</v>
      </c>
      <c r="B4" s="25"/>
      <c r="C4" s="25"/>
      <c r="E4" s="30" t="s">
        <v>3</v>
      </c>
      <c r="F4" s="25"/>
      <c r="G4" s="25"/>
      <c r="I4" s="31" t="s">
        <v>4</v>
      </c>
      <c r="J4" s="25"/>
      <c r="K4" s="25"/>
    </row>
    <row r="5" spans="1:11" ht="15" customHeight="1" x14ac:dyDescent="0.3">
      <c r="A5" s="24" t="s">
        <v>5</v>
      </c>
      <c r="B5" s="25"/>
      <c r="C5" s="25"/>
      <c r="E5" s="24" t="s">
        <v>5</v>
      </c>
      <c r="F5" s="25"/>
      <c r="G5" s="25"/>
      <c r="I5" s="24" t="s">
        <v>5</v>
      </c>
      <c r="J5" s="25"/>
      <c r="K5" s="25"/>
    </row>
    <row r="6" spans="1:11" ht="28.05" customHeight="1" x14ac:dyDescent="0.3">
      <c r="A6" s="27">
        <f>AVERAGE('Master KPI Data'!I3:I10)</f>
        <v>0.98874613003095968</v>
      </c>
      <c r="B6" s="25"/>
      <c r="C6" s="25"/>
      <c r="E6" s="27">
        <f>AVERAGE('Master KPI Data'!I11:I17)</f>
        <v>1.0039879109538552</v>
      </c>
      <c r="F6" s="25"/>
      <c r="G6" s="25"/>
      <c r="I6" s="27">
        <f>AVERAGE('Master KPI Data'!I18:I23)</f>
        <v>1.0097745384703589</v>
      </c>
      <c r="J6" s="25"/>
      <c r="K6" s="25"/>
    </row>
    <row r="7" spans="1:11" ht="19.95" customHeight="1" x14ac:dyDescent="0.3">
      <c r="A7" s="26" t="str">
        <f>IF(A6&gt;=1,"EXCEEDING",IF(A6&gt;=0.9,"ON TRACK","NEEDS ATTENTION"))</f>
        <v>ON TRACK</v>
      </c>
      <c r="B7" s="25"/>
      <c r="C7" s="25"/>
      <c r="E7" s="26" t="str">
        <f>IF(E6&gt;=1,"EXCEEDING",IF(E6&gt;=0.9,"ON TRACK","NEEDS ATTENTION"))</f>
        <v>EXCEEDING</v>
      </c>
      <c r="F7" s="25"/>
      <c r="G7" s="25"/>
      <c r="I7" s="26" t="str">
        <f>IF(I6&gt;=1,"EXCEEDING",IF(I6&gt;=0.9,"ON TRACK","NEEDS ATTENTION"))</f>
        <v>EXCEEDING</v>
      </c>
      <c r="J7" s="25"/>
      <c r="K7" s="25"/>
    </row>
    <row r="9" spans="1:11" ht="17.399999999999999" x14ac:dyDescent="0.35">
      <c r="A9" s="2" t="s">
        <v>6</v>
      </c>
    </row>
    <row r="10" spans="1:11" ht="24" customHeight="1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</row>
    <row r="11" spans="1:11" x14ac:dyDescent="0.3">
      <c r="A11" s="4" t="s">
        <v>14</v>
      </c>
      <c r="B11" s="5">
        <f>COUNTA('Master KPI Data'!I3:I10)</f>
        <v>8</v>
      </c>
      <c r="C11" s="5">
        <f>COUNTIF('Master KPI Data'!J3:J10, "ON TRACK")</f>
        <v>3</v>
      </c>
      <c r="D11" s="5">
        <f>COUNTIF('Master KPI Data'!J3:J10, "NEEDS ATTENTION")</f>
        <v>5</v>
      </c>
      <c r="E11" s="5">
        <f>COUNTIF('Master KPI Data'!J3:J10, "OFF TRACK")</f>
        <v>0</v>
      </c>
      <c r="F11" s="6">
        <f>AVERAGE('Master KPI Data'!I3:I10)</f>
        <v>0.98874613003095968</v>
      </c>
      <c r="G11" s="7" t="str">
        <f>IF(F11&gt;=0.95, "HEALTHY", IF(F11&gt;=0.9, "SATISFACTORY", "CRITICAL"))</f>
        <v>HEALTHY</v>
      </c>
    </row>
    <row r="12" spans="1:11" x14ac:dyDescent="0.3">
      <c r="A12" s="4" t="s">
        <v>15</v>
      </c>
      <c r="B12" s="5">
        <f>COUNTA('Master KPI Data'!I11:I17)</f>
        <v>7</v>
      </c>
      <c r="C12" s="5">
        <f>COUNTIF('Master KPI Data'!J11:J17, "ON TRACK")</f>
        <v>5</v>
      </c>
      <c r="D12" s="5">
        <f>COUNTIF('Master KPI Data'!J11:J17, "NEEDS ATTENTION")</f>
        <v>2</v>
      </c>
      <c r="E12" s="5">
        <f>COUNTIF('Master KPI Data'!J11:J17, "OFF TRACK")</f>
        <v>0</v>
      </c>
      <c r="F12" s="6">
        <f>AVERAGE('Master KPI Data'!I11:I17)</f>
        <v>1.0039879109538552</v>
      </c>
      <c r="G12" s="7" t="str">
        <f>IF(F12&gt;=0.95, "HEALTHY", IF(F12&gt;=0.9, "SATISFACTORY", "CRITICAL"))</f>
        <v>HEALTHY</v>
      </c>
    </row>
    <row r="13" spans="1:11" x14ac:dyDescent="0.3">
      <c r="A13" s="4" t="s">
        <v>16</v>
      </c>
      <c r="B13" s="5">
        <f>COUNTA('Master KPI Data'!I18:I23)</f>
        <v>6</v>
      </c>
      <c r="C13" s="5">
        <f>COUNTIF('Master KPI Data'!J18:J23, "ON TRACK")</f>
        <v>5</v>
      </c>
      <c r="D13" s="5">
        <f>COUNTIF('Master KPI Data'!J18:J23, "NEEDS ATTENTION")</f>
        <v>1</v>
      </c>
      <c r="E13" s="5">
        <f>COUNTIF('Master KPI Data'!J18:J23, "OFF TRACK")</f>
        <v>0</v>
      </c>
      <c r="F13" s="6">
        <f>AVERAGE('Master KPI Data'!I18:I23)</f>
        <v>1.0097745384703589</v>
      </c>
      <c r="G13" s="7" t="str">
        <f>IF(F13&gt;=0.95, "HEALTHY", IF(F13&gt;=0.9, "SATISFACTORY", "CRITICAL"))</f>
        <v>HEALTHY</v>
      </c>
    </row>
    <row r="14" spans="1:11" x14ac:dyDescent="0.3">
      <c r="A14" s="8" t="s">
        <v>17</v>
      </c>
      <c r="B14" s="9">
        <f>SUM(B11:B13)</f>
        <v>21</v>
      </c>
      <c r="C14" s="9">
        <f>SUM(C11:C13)</f>
        <v>13</v>
      </c>
      <c r="D14" s="9">
        <f>SUM(D11:D13)</f>
        <v>8</v>
      </c>
      <c r="E14" s="9">
        <f>SUM(E11:E13)</f>
        <v>0</v>
      </c>
      <c r="F14" s="10">
        <f>AVERAGE('Master KPI Data'!I3:I23)</f>
        <v>0.99983484036889592</v>
      </c>
      <c r="G14" s="9" t="str">
        <f>IF(F14&gt;=0.95, "HEALTHY", IF(F14&gt;=0.9, "SATISFACTORY", "CRITICAL"))</f>
        <v>HEALTHY</v>
      </c>
    </row>
  </sheetData>
  <mergeCells count="14">
    <mergeCell ref="A1:K1"/>
    <mergeCell ref="E6:G6"/>
    <mergeCell ref="I6:K6"/>
    <mergeCell ref="A2:K2"/>
    <mergeCell ref="E4:G4"/>
    <mergeCell ref="A7:C7"/>
    <mergeCell ref="I4:K4"/>
    <mergeCell ref="I7:K7"/>
    <mergeCell ref="A4:C4"/>
    <mergeCell ref="A5:C5"/>
    <mergeCell ref="E7:G7"/>
    <mergeCell ref="E5:G5"/>
    <mergeCell ref="I5:K5"/>
    <mergeCell ref="A6:C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E10" sqref="E10"/>
    </sheetView>
  </sheetViews>
  <sheetFormatPr defaultRowHeight="14.4" x14ac:dyDescent="0.3"/>
  <cols>
    <col min="1" max="1" width="12" customWidth="1"/>
    <col min="2" max="2" width="38" customWidth="1"/>
    <col min="3" max="3" width="45" customWidth="1"/>
    <col min="4" max="4" width="38" customWidth="1"/>
    <col min="5" max="5" width="36" customWidth="1"/>
    <col min="6" max="7" width="12" customWidth="1"/>
    <col min="8" max="8" width="16" customWidth="1"/>
    <col min="9" max="9" width="18" customWidth="1"/>
    <col min="10" max="10" width="26" customWidth="1"/>
    <col min="11" max="11" width="16" customWidth="1"/>
  </cols>
  <sheetData>
    <row r="1" spans="1:11" ht="25.05" customHeight="1" x14ac:dyDescent="0.3">
      <c r="A1" s="35" t="s">
        <v>18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8" customHeight="1" x14ac:dyDescent="0.3">
      <c r="A2" s="34" t="s">
        <v>19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spans="1:11" ht="24" customHeight="1" x14ac:dyDescent="0.3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</row>
    <row r="5" spans="1:11" ht="40.049999999999997" customHeight="1" x14ac:dyDescent="0.3">
      <c r="A5" s="12" t="str">
        <f>'Master KPI Data'!A3</f>
        <v>AE-01</v>
      </c>
      <c r="B5" s="13" t="str">
        <f>'Master KPI Data'!C3</f>
        <v>Curriculum Coverage Rate</v>
      </c>
      <c r="C5" s="13" t="str">
        <f>'Master KPI Data'!D3</f>
        <v>Fortnightly audit comparing taught topics in student workbooks against approved termly Scheme of Work.</v>
      </c>
      <c r="D5" s="13" t="str">
        <f>'Master KPI Data'!E3</f>
        <v>(Topics Completed ÷ Planned Topics in Scheme) × 100</v>
      </c>
      <c r="E5" s="13" t="str">
        <f>'Master KPI Data'!F3</f>
        <v>Appendix C: Curriculum Coverage Tracker</v>
      </c>
      <c r="F5" s="1">
        <f>'Master KPI Data'!G3</f>
        <v>1</v>
      </c>
      <c r="G5" s="1">
        <f>'Master KPI Data'!H3</f>
        <v>0.96</v>
      </c>
      <c r="H5" s="14">
        <f>'Master KPI Data'!I3</f>
        <v>0.96</v>
      </c>
      <c r="I5" s="15" t="str">
        <f>'Master KPI Data'!J3</f>
        <v>NEEDS ATTENTION</v>
      </c>
      <c r="J5" s="13" t="str">
        <f>'Master KPI Data'!K3</f>
        <v>Subject Leads / HoS</v>
      </c>
      <c r="K5" s="12" t="str">
        <f>'Master KPI Data'!L3</f>
        <v>Fortnightly</v>
      </c>
    </row>
    <row r="6" spans="1:11" ht="40.049999999999997" customHeight="1" x14ac:dyDescent="0.3">
      <c r="A6" s="12" t="str">
        <f>'Master KPI Data'!A4</f>
        <v>AE-02</v>
      </c>
      <c r="B6" s="13" t="str">
        <f>'Master KPI Data'!C4</f>
        <v>School-wide Examination Pass Rate</v>
      </c>
      <c r="C6" s="13" t="str">
        <f>'Master KPI Data'!D4</f>
        <v>Consolidated termly grading ledger across all subjects and phases (Primary &amp; Secondary).</v>
      </c>
      <c r="D6" s="13" t="str">
        <f>'Master KPI Data'!E4</f>
        <v>(Students scoring ≥50% in subject ÷ Total Enrolled) × 100</v>
      </c>
      <c r="E6" s="13" t="str">
        <f>'Master KPI Data'!F4</f>
        <v>Termly Broad Sheet &amp; Examination Result Ledger</v>
      </c>
      <c r="F6" s="1">
        <f>'Master KPI Data'!G4</f>
        <v>0.9</v>
      </c>
      <c r="G6" s="1">
        <f>'Master KPI Data'!H4</f>
        <v>0.92</v>
      </c>
      <c r="H6" s="14">
        <f>'Master KPI Data'!I4</f>
        <v>1.0222222222222221</v>
      </c>
      <c r="I6" s="15" t="str">
        <f>'Master KPI Data'!J4</f>
        <v>ON TRACK</v>
      </c>
      <c r="J6" s="13" t="str">
        <f>'Master KPI Data'!K4</f>
        <v>HoDs/AHS</v>
      </c>
      <c r="K6" s="12" t="str">
        <f>'Master KPI Data'!L4</f>
        <v>Termly</v>
      </c>
    </row>
    <row r="7" spans="1:11" ht="40.049999999999997" customHeight="1" x14ac:dyDescent="0.3">
      <c r="A7" s="12" t="str">
        <f>'Master KPI Data'!A5</f>
        <v>AE-03</v>
      </c>
      <c r="B7" s="13" t="str">
        <f>'Master KPI Data'!C5</f>
        <v>Homework Completion Rate</v>
      </c>
      <c r="C7" s="13" t="str">
        <f>'Master KPI Data'!D5</f>
        <v>Weekly class register check tracking homework submission and correctness.</v>
      </c>
      <c r="D7" s="13" t="str">
        <f>'Master KPI Data'!E5</f>
        <v>(Assignments Completed On-Time ÷ Total Assignments Given) × 100</v>
      </c>
      <c r="E7" s="13" t="str">
        <f>'Master KPI Data'!F5</f>
        <v>Classroom Homework Log &amp; Portal Submission Log</v>
      </c>
      <c r="F7" s="1">
        <f>'Master KPI Data'!G5</f>
        <v>0.95</v>
      </c>
      <c r="G7" s="1">
        <f>'Master KPI Data'!H5</f>
        <v>0.94</v>
      </c>
      <c r="H7" s="14">
        <f>'Master KPI Data'!I5</f>
        <v>0.98947368421052628</v>
      </c>
      <c r="I7" s="15" t="str">
        <f>'Master KPI Data'!J5</f>
        <v>NEEDS ATTENTION</v>
      </c>
      <c r="J7" s="13" t="str">
        <f>'Master KPI Data'!K5</f>
        <v>Class Teachers / HoDs</v>
      </c>
      <c r="K7" s="12" t="str">
        <f>'Master KPI Data'!L5</f>
        <v>Weekly</v>
      </c>
    </row>
    <row r="8" spans="1:11" ht="40.049999999999997" customHeight="1" x14ac:dyDescent="0.3">
      <c r="A8" s="12" t="str">
        <f>'Master KPI Data'!A6</f>
        <v>AE-04</v>
      </c>
      <c r="B8" s="13" t="str">
        <f>'Master KPI Data'!C6</f>
        <v>Learner Attendance Rate</v>
      </c>
      <c r="C8" s="13" t="str">
        <f>'Master KPI Data'!D6</f>
        <v>Daily morning roll call recorded on the digital portal register.</v>
      </c>
      <c r="D8" s="13" t="str">
        <f>'Master KPI Data'!E6</f>
        <v>(Days Present ÷ Total Instructional School Days) × 100</v>
      </c>
      <c r="E8" s="13" t="str">
        <f>'Master KPI Data'!F6</f>
        <v>Digital Attendance Register System</v>
      </c>
      <c r="F8" s="1">
        <f>'Master KPI Data'!G6</f>
        <v>0.95</v>
      </c>
      <c r="G8" s="1">
        <f>'Master KPI Data'!H6</f>
        <v>0.96499999999999997</v>
      </c>
      <c r="H8" s="14">
        <f>'Master KPI Data'!I6</f>
        <v>1.0157894736842106</v>
      </c>
      <c r="I8" s="15" t="str">
        <f>'Master KPI Data'!J6</f>
        <v>ON TRACK</v>
      </c>
      <c r="J8" s="13" t="str">
        <f>'Master KPI Data'!K6</f>
        <v>Admin Officer</v>
      </c>
      <c r="K8" s="12" t="str">
        <f>'Master KPI Data'!L6</f>
        <v>Weekly</v>
      </c>
    </row>
    <row r="9" spans="1:11" ht="40.049999999999997" customHeight="1" x14ac:dyDescent="0.3">
      <c r="A9" s="12" t="str">
        <f>'Master KPI Data'!A7</f>
        <v>AE-05</v>
      </c>
      <c r="B9" s="13" t="str">
        <f>'Master KPI Data'!C7</f>
        <v>Lesson Plan Submission &amp; Approval</v>
      </c>
      <c r="C9" s="13" t="str">
        <f>'Master KPI Data'!D7</f>
        <v>Weekly digital portal upload audit prior to Monday morning instruction.</v>
      </c>
      <c r="D9" s="13" t="str">
        <f>'Master KPI Data'!E7</f>
        <v>(Approved Lesson Plans Submitted On-Time ÷ Total Required) × 100</v>
      </c>
      <c r="E9" s="13" t="str">
        <f>'Master KPI Data'!F7</f>
        <v>Appendix A: Weekly Lesson Plan Tracker</v>
      </c>
      <c r="F9" s="1">
        <f>'Master KPI Data'!G7</f>
        <v>1</v>
      </c>
      <c r="G9" s="1">
        <f>'Master KPI Data'!H7</f>
        <v>0.98</v>
      </c>
      <c r="H9" s="14">
        <f>'Master KPI Data'!I7</f>
        <v>0.98</v>
      </c>
      <c r="I9" s="15" t="str">
        <f>'Master KPI Data'!J7</f>
        <v>NEEDS ATTENTION</v>
      </c>
      <c r="J9" s="13" t="str">
        <f>'Master KPI Data'!K7</f>
        <v>HoDs/AHS</v>
      </c>
      <c r="K9" s="12" t="str">
        <f>'Master KPI Data'!L7</f>
        <v>Weekly</v>
      </c>
    </row>
    <row r="10" spans="1:11" ht="40.049999999999997" customHeight="1" x14ac:dyDescent="0.3">
      <c r="A10" s="12" t="str">
        <f>'Master KPI Data'!A8</f>
        <v>AE-06</v>
      </c>
      <c r="B10" s="13" t="str">
        <f>'Master KPI Data'!C8</f>
        <v>Effective or Better Lesson Observations</v>
      </c>
      <c r="C10" s="13" t="str">
        <f>'Master KPI Data'!D8</f>
        <v>Structured classroom observation scoring across 12 instructional standards.</v>
      </c>
      <c r="D10" s="13" t="str">
        <f>'Master KPI Data'!E8</f>
        <v>(Lessons Scored ≥3 'Secure' on Rubric ÷ Total Observed) × 100</v>
      </c>
      <c r="E10" s="13" t="str">
        <f>'Master KPI Data'!F8</f>
        <v>Appendix B: Classroom Observation Checklist</v>
      </c>
      <c r="F10" s="1">
        <f>'Master KPI Data'!G8</f>
        <v>0.9</v>
      </c>
      <c r="G10" s="1">
        <f>'Master KPI Data'!H8</f>
        <v>0.88</v>
      </c>
      <c r="H10" s="14">
        <f>'Master KPI Data'!I8</f>
        <v>0.97777777777777775</v>
      </c>
      <c r="I10" s="15" t="str">
        <f>'Master KPI Data'!J8</f>
        <v>NEEDS ATTENTION</v>
      </c>
      <c r="J10" s="13" t="str">
        <f>'Master KPI Data'!K8</f>
        <v>HoS/HoDs</v>
      </c>
      <c r="K10" s="12" t="str">
        <f>'Master KPI Data'!L8</f>
        <v>Termly</v>
      </c>
    </row>
    <row r="11" spans="1:11" ht="40.049999999999997" customHeight="1" x14ac:dyDescent="0.3">
      <c r="A11" s="12" t="str">
        <f>'Master KPI Data'!A9</f>
        <v>AE-07</v>
      </c>
      <c r="B11" s="13" t="str">
        <f>'Master KPI Data'!C9</f>
        <v>At-Risk Learners with Active Plan</v>
      </c>
      <c r="C11" s="13" t="str">
        <f>'Master KPI Data'!D9</f>
        <v>Monthly audit of students performing below 50% or marked 'Concern' against active Tier 2/3 plans.</v>
      </c>
      <c r="D11" s="13" t="str">
        <f>'Master KPI Data'!E9</f>
        <v>(Identified Students with Active Support Plans ÷ Total Identified At-Risk) × 100</v>
      </c>
      <c r="E11" s="13" t="str">
        <f>'Master KPI Data'!F9</f>
        <v>Appendix F: Learner Academic Intervention Plan</v>
      </c>
      <c r="F11" s="1">
        <f>'Master KPI Data'!G9</f>
        <v>1</v>
      </c>
      <c r="G11" s="1">
        <f>'Master KPI Data'!H9</f>
        <v>1</v>
      </c>
      <c r="H11" s="14">
        <f>'Master KPI Data'!I9</f>
        <v>1</v>
      </c>
      <c r="I11" s="15" t="str">
        <f>'Master KPI Data'!J9</f>
        <v>ON TRACK</v>
      </c>
      <c r="J11" s="13" t="str">
        <f>'Master KPI Data'!K9</f>
        <v>Learning Support Coordinator</v>
      </c>
      <c r="K11" s="12" t="str">
        <f>'Master KPI Data'!L9</f>
        <v>Monthly</v>
      </c>
    </row>
    <row r="12" spans="1:11" ht="40.049999999999997" customHeight="1" x14ac:dyDescent="0.3">
      <c r="A12" s="12" t="str">
        <f>'Master KPI Data'!A10</f>
        <v>AE-08</v>
      </c>
      <c r="B12" s="13" t="str">
        <f>'Master KPI Data'!C10</f>
        <v>Reading Progress (≥1 Year Growth)</v>
      </c>
      <c r="C12" s="13" t="str">
        <f>'Master KPI Data'!D10</f>
        <v>Standardized diagnostic reading tests administered at start and end of academic session.</v>
      </c>
      <c r="D12" s="13" t="str">
        <f>'Master KPI Data'!E10</f>
        <v>(Students achieving ≥1.0 Grade-Level Increase ÷ Total Assessed) × 100</v>
      </c>
      <c r="E12" s="13" t="str">
        <f>'Master KPI Data'!F10</f>
        <v>Literacy Assessment Battery &amp; Reading Logs</v>
      </c>
      <c r="F12" s="1">
        <f>'Master KPI Data'!G10</f>
        <v>0.85</v>
      </c>
      <c r="G12" s="1">
        <f>'Master KPI Data'!H10</f>
        <v>0.82</v>
      </c>
      <c r="H12" s="14">
        <f>'Master KPI Data'!I10</f>
        <v>0.96470588235294119</v>
      </c>
      <c r="I12" s="15" t="str">
        <f>'Master KPI Data'!J10</f>
        <v>NEEDS ATTENTION</v>
      </c>
      <c r="J12" s="13" t="str">
        <f>'Master KPI Data'!K10</f>
        <v>Literacy Coordinator</v>
      </c>
      <c r="K12" s="12" t="str">
        <f>'Master KPI Data'!L10</f>
        <v>Termly</v>
      </c>
    </row>
    <row r="15" spans="1:11" x14ac:dyDescent="0.3">
      <c r="B15" s="16" t="s">
        <v>31</v>
      </c>
      <c r="C15" s="1"/>
      <c r="D15" s="1"/>
      <c r="E15" s="1"/>
      <c r="F15" s="1"/>
      <c r="G15" s="4" t="s">
        <v>32</v>
      </c>
      <c r="H15" s="17">
        <f>AVERAGE(H5:H12)</f>
        <v>0.98874613003095968</v>
      </c>
      <c r="I15" s="18" t="str">
        <f>IF(H15&gt;=1,"EXCEEDING",IF(H15&gt;=0.9,"ON TRACK","NEEDS ATTENTION"))</f>
        <v>ON TRACK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sqref="A1:K1"/>
    </sheetView>
  </sheetViews>
  <sheetFormatPr defaultRowHeight="14.4" x14ac:dyDescent="0.3"/>
  <cols>
    <col min="1" max="1" width="12" customWidth="1"/>
    <col min="2" max="2" width="38" customWidth="1"/>
    <col min="3" max="3" width="45" customWidth="1"/>
    <col min="4" max="4" width="38" customWidth="1"/>
    <col min="5" max="5" width="36" customWidth="1"/>
    <col min="6" max="7" width="12" customWidth="1"/>
    <col min="8" max="8" width="16" customWidth="1"/>
    <col min="9" max="9" width="18" customWidth="1"/>
    <col min="10" max="10" width="26" customWidth="1"/>
    <col min="11" max="11" width="16" customWidth="1"/>
  </cols>
  <sheetData>
    <row r="1" spans="1:11" ht="25.05" customHeight="1" x14ac:dyDescent="0.3">
      <c r="A1" s="37" t="s">
        <v>33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8" customHeight="1" x14ac:dyDescent="0.3">
      <c r="A2" s="36" t="s">
        <v>34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 ht="24" customHeight="1" x14ac:dyDescent="0.3">
      <c r="A4" s="19" t="s">
        <v>20</v>
      </c>
      <c r="B4" s="19" t="s">
        <v>21</v>
      </c>
      <c r="C4" s="19" t="s">
        <v>22</v>
      </c>
      <c r="D4" s="19" t="s">
        <v>23</v>
      </c>
      <c r="E4" s="19" t="s">
        <v>24</v>
      </c>
      <c r="F4" s="19" t="s">
        <v>25</v>
      </c>
      <c r="G4" s="19" t="s">
        <v>26</v>
      </c>
      <c r="H4" s="19" t="s">
        <v>27</v>
      </c>
      <c r="I4" s="19" t="s">
        <v>28</v>
      </c>
      <c r="J4" s="19" t="s">
        <v>29</v>
      </c>
      <c r="K4" s="19" t="s">
        <v>30</v>
      </c>
    </row>
    <row r="5" spans="1:11" ht="40.049999999999997" customHeight="1" x14ac:dyDescent="0.3">
      <c r="A5" s="12" t="str">
        <f>'Master KPI Data'!A11</f>
        <v>CE-01</v>
      </c>
      <c r="B5" s="13" t="str">
        <f>'Master KPI Data'!C11</f>
        <v>Daily Devotion &amp; Chapel Attendance</v>
      </c>
      <c r="C5" s="13" t="str">
        <f>'Master KPI Data'!D11</f>
        <v>Daily attendance and active participation check during morning devotion and chapel services.</v>
      </c>
      <c r="D5" s="13" t="str">
        <f>'Master KPI Data'!E11</f>
        <v>(Students Present &amp; Participating ÷ Total School Roll) × 100</v>
      </c>
      <c r="E5" s="13" t="str">
        <f>'Master KPI Data'!F11</f>
        <v>Chapel Attendance Log &amp; Devotion Register</v>
      </c>
      <c r="F5" s="1">
        <f>'Master KPI Data'!G11</f>
        <v>0.95</v>
      </c>
      <c r="G5" s="1">
        <f>'Master KPI Data'!H11</f>
        <v>0.97</v>
      </c>
      <c r="H5" s="14">
        <f>'Master KPI Data'!I11</f>
        <v>1.0210526315789474</v>
      </c>
      <c r="I5" s="15" t="str">
        <f>'Master KPI Data'!J11</f>
        <v>ON TRACK</v>
      </c>
      <c r="J5" s="13" t="str">
        <f>'Master KPI Data'!K11</f>
        <v>Chaplain / Class Teachers</v>
      </c>
      <c r="K5" s="12" t="str">
        <f>'Master KPI Data'!L11</f>
        <v>Daily</v>
      </c>
    </row>
    <row r="6" spans="1:11" ht="40.049999999999997" customHeight="1" x14ac:dyDescent="0.3">
      <c r="A6" s="12" t="str">
        <f>'Master KPI Data'!A12</f>
        <v>CE-02</v>
      </c>
      <c r="B6" s="13" t="str">
        <f>'Master KPI Data'!C12</f>
        <v>Christian Character Rating (Secure+)</v>
      </c>
      <c r="C6" s="13" t="str">
        <f>'Master KPI Data'!D12</f>
        <v>Termly holistic evaluation across 7 biblical character domains (Faith, Integrity, Excellence, etc.).</v>
      </c>
      <c r="D6" s="13" t="str">
        <f>'Master KPI Data'!E12</f>
        <v>(Students scoring Rating 3 'Secure' or 4 'Exemplary' ÷ Total Enrolled) × 100</v>
      </c>
      <c r="E6" s="13" t="str">
        <f>'Master KPI Data'!F12</f>
        <v>Appendix I: Character Development Rubric</v>
      </c>
      <c r="F6" s="1">
        <f>'Master KPI Data'!G12</f>
        <v>0.85</v>
      </c>
      <c r="G6" s="1">
        <f>'Master KPI Data'!H12</f>
        <v>0.88</v>
      </c>
      <c r="H6" s="14">
        <f>'Master KPI Data'!I12</f>
        <v>1.0352941176470589</v>
      </c>
      <c r="I6" s="15" t="str">
        <f>'Master KPI Data'!J12</f>
        <v>ON TRACK</v>
      </c>
      <c r="J6" s="13" t="str">
        <f>'Master KPI Data'!K12</f>
        <v>Class Teachers / Chaplain</v>
      </c>
      <c r="K6" s="12" t="str">
        <f>'Master KPI Data'!L12</f>
        <v>Termly</v>
      </c>
    </row>
    <row r="7" spans="1:11" ht="40.049999999999997" customHeight="1" x14ac:dyDescent="0.3">
      <c r="A7" s="12" t="str">
        <f>'Master KPI Data'!A13</f>
        <v>CE-03</v>
      </c>
      <c r="B7" s="13" t="str">
        <f>'Master KPI Data'!C13</f>
        <v>Community Service Hours per Learner</v>
      </c>
      <c r="C7" s="13" t="str">
        <f>'Master KPI Data'!D13</f>
        <v>Tracking student participation in school-organized outreach, peer tutoring, and campus service.</v>
      </c>
      <c r="D7" s="13" t="str">
        <f>'Master KPI Data'!E13</f>
        <v>Total Verified Service Hours ÷ Total Student Roll</v>
      </c>
      <c r="E7" s="13" t="str">
        <f>'Master KPI Data'!F13</f>
        <v>Student Leadership &amp; Service Activity Log</v>
      </c>
      <c r="F7" s="1">
        <f>'Master KPI Data'!G13</f>
        <v>10</v>
      </c>
      <c r="G7" s="1">
        <f>'Master KPI Data'!H13</f>
        <v>9.5</v>
      </c>
      <c r="H7" s="14">
        <f>'Master KPI Data'!I13</f>
        <v>0.95</v>
      </c>
      <c r="I7" s="15" t="str">
        <f>'Master KPI Data'!J13</f>
        <v>NEEDS ATTENTION</v>
      </c>
      <c r="J7" s="13" t="str">
        <f>'Master KPI Data'!K13</f>
        <v>Student Life Coordinator</v>
      </c>
      <c r="K7" s="12" t="str">
        <f>'Master KPI Data'!L13</f>
        <v>Termly</v>
      </c>
    </row>
    <row r="8" spans="1:11" ht="40.049999999999997" customHeight="1" x14ac:dyDescent="0.3">
      <c r="A8" s="12" t="str">
        <f>'Master KPI Data'!A14</f>
        <v>CE-04</v>
      </c>
      <c r="B8" s="13" t="str">
        <f>'Master KPI Data'!C14</f>
        <v>Resolved Restorative Discipline Cases</v>
      </c>
      <c r="C8" s="13" t="str">
        <f>'Master KPI Data'!D14</f>
        <v>Tracking disciplinary incidents managed through restorative reflection vs purely punitive measures.</v>
      </c>
      <c r="D8" s="13" t="str">
        <f>'Master KPI Data'!E14</f>
        <v>(Resolved Cases with Completed Restorative Agreement ÷ Total Incidents Logged) × 100</v>
      </c>
      <c r="E8" s="13" t="str">
        <f>'Master KPI Data'!F14</f>
        <v>Appendix G: Behaviour Incident &amp; Restorative Record</v>
      </c>
      <c r="F8" s="1">
        <f>'Master KPI Data'!G14</f>
        <v>0.9</v>
      </c>
      <c r="G8" s="1">
        <f>'Master KPI Data'!H14</f>
        <v>0.93</v>
      </c>
      <c r="H8" s="14">
        <f>'Master KPI Data'!I14</f>
        <v>1.0333333333333334</v>
      </c>
      <c r="I8" s="15" t="str">
        <f>'Master KPI Data'!J14</f>
        <v>ON TRACK</v>
      </c>
      <c r="J8" s="13" t="str">
        <f>'Master KPI Data'!K14</f>
        <v>HoS</v>
      </c>
      <c r="K8" s="12" t="str">
        <f>'Master KPI Data'!L14</f>
        <v>Monthly</v>
      </c>
    </row>
    <row r="9" spans="1:11" ht="40.049999999999997" customHeight="1" x14ac:dyDescent="0.3">
      <c r="A9" s="12" t="str">
        <f>'Master KPI Data'!A15</f>
        <v>CE-05</v>
      </c>
      <c r="B9" s="13" t="str">
        <f>'Master KPI Data'!C15</f>
        <v>Bullying Case Resolution Rate</v>
      </c>
      <c r="C9" s="13" t="str">
        <f>'Master KPI Data'!D15</f>
        <v>Formal tracking of reported bullying/cyberbullying incidents from report to verified follow-up closure.</v>
      </c>
      <c r="D9" s="13" t="str">
        <f>'Master KPI Data'!E15</f>
        <v>(Bullying Cases Fully Investigated &amp; Closed with Safety Plan ÷ Total Reported) × 100</v>
      </c>
      <c r="E9" s="13" t="str">
        <f>'Master KPI Data'!F15</f>
        <v>Appendix H: Anti-Bullying Case Management Form</v>
      </c>
      <c r="F9" s="1">
        <f>'Master KPI Data'!G15</f>
        <v>1</v>
      </c>
      <c r="G9" s="1">
        <f>'Master KPI Data'!H15</f>
        <v>1</v>
      </c>
      <c r="H9" s="14">
        <f>'Master KPI Data'!I15</f>
        <v>1</v>
      </c>
      <c r="I9" s="15" t="str">
        <f>'Master KPI Data'!J15</f>
        <v>ON TRACK</v>
      </c>
      <c r="J9" s="13" t="str">
        <f>'Master KPI Data'!K15</f>
        <v>HoS/Caplain</v>
      </c>
      <c r="K9" s="12" t="str">
        <f>'Master KPI Data'!L15</f>
        <v>Monthly</v>
      </c>
    </row>
    <row r="10" spans="1:11" ht="40.049999999999997" customHeight="1" x14ac:dyDescent="0.3">
      <c r="A10" s="12" t="str">
        <f>'Master KPI Data'!A16</f>
        <v>CE-06</v>
      </c>
      <c r="B10" s="13" t="str">
        <f>'Master KPI Data'!C16</f>
        <v>Scripture Memory &amp; Application Mastery</v>
      </c>
      <c r="C10" s="13" t="str">
        <f>'Master KPI Data'!D16</f>
        <v>Bi-weekly assessment of assigned termly Bible verses and contextual application reflection.</v>
      </c>
      <c r="D10" s="13" t="str">
        <f>'Master KPI Data'!E16</f>
        <v>(Students Reciting and Contextually Explaining Verses ÷ Total Assessed) × 100</v>
      </c>
      <c r="E10" s="13" t="str">
        <f>'Master KPI Data'!F16</f>
        <v>Scripture Memory Progress Log</v>
      </c>
      <c r="F10" s="1">
        <f>'Master KPI Data'!G16</f>
        <v>0.85</v>
      </c>
      <c r="G10" s="1">
        <f>'Master KPI Data'!H16</f>
        <v>0.8</v>
      </c>
      <c r="H10" s="14">
        <f>'Master KPI Data'!I16</f>
        <v>0.94117647058823539</v>
      </c>
      <c r="I10" s="15" t="str">
        <f>'Master KPI Data'!J16</f>
        <v>NEEDS ATTENTION</v>
      </c>
      <c r="J10" s="13" t="str">
        <f>'Master KPI Data'!K16</f>
        <v>Chaplain</v>
      </c>
      <c r="K10" s="12" t="str">
        <f>'Master KPI Data'!L16</f>
        <v>Termly</v>
      </c>
    </row>
    <row r="11" spans="1:11" ht="40.049999999999997" customHeight="1" x14ac:dyDescent="0.3">
      <c r="A11" s="12" t="str">
        <f>'Master KPI Data'!A17</f>
        <v>CE-07</v>
      </c>
      <c r="B11" s="13" t="str">
        <f>'Master KPI Data'!C17</f>
        <v>Parent-School Christian Culture Alignment</v>
      </c>
      <c r="C11" s="13" t="str">
        <f>'Master KPI Data'!D17</f>
        <v>Tracking parent endorsement and submission of the Christian Culture Partnership Commitment.</v>
      </c>
      <c r="D11" s="13" t="str">
        <f>'Master KPI Data'!E17</f>
        <v>(Signed Partnership Commitments Received ÷ Total Parent Body) × 100</v>
      </c>
      <c r="E11" s="13" t="str">
        <f>'Master KPI Data'!F17</f>
        <v>Appendix K: Parent-School Partnership Charter</v>
      </c>
      <c r="F11" s="1">
        <f>'Master KPI Data'!G17</f>
        <v>0.85</v>
      </c>
      <c r="G11" s="1">
        <f>'Master KPI Data'!H17</f>
        <v>0.89</v>
      </c>
      <c r="H11" s="14">
        <f>'Master KPI Data'!I17</f>
        <v>1.0470588235294118</v>
      </c>
      <c r="I11" s="15" t="str">
        <f>'Master KPI Data'!J17</f>
        <v>ON TRACK</v>
      </c>
      <c r="J11" s="13" t="str">
        <f>'Master KPI Data'!K17</f>
        <v>Parent Relations Lead</v>
      </c>
      <c r="K11" s="12" t="str">
        <f>'Master KPI Data'!L17</f>
        <v>Termly</v>
      </c>
    </row>
    <row r="14" spans="1:11" x14ac:dyDescent="0.3">
      <c r="B14" s="16" t="s">
        <v>31</v>
      </c>
      <c r="C14" s="1"/>
      <c r="D14" s="1"/>
      <c r="E14" s="1"/>
      <c r="F14" s="1"/>
      <c r="G14" s="4" t="s">
        <v>32</v>
      </c>
      <c r="H14" s="17">
        <f>AVERAGE(H5:H11)</f>
        <v>1.0039879109538552</v>
      </c>
      <c r="I14" s="18" t="str">
        <f>IF(H14&gt;=1,"EXCEEDING",IF(H14&gt;=0.9,"ON TRACK","NEEDS ATTENTION"))</f>
        <v>EXCEEDING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sqref="A1:K1"/>
    </sheetView>
  </sheetViews>
  <sheetFormatPr defaultRowHeight="14.4" x14ac:dyDescent="0.3"/>
  <cols>
    <col min="1" max="1" width="12" customWidth="1"/>
    <col min="2" max="2" width="38" customWidth="1"/>
    <col min="3" max="3" width="45" customWidth="1"/>
    <col min="4" max="4" width="38" customWidth="1"/>
    <col min="5" max="5" width="36" customWidth="1"/>
    <col min="6" max="7" width="12" customWidth="1"/>
    <col min="8" max="8" width="16" customWidth="1"/>
    <col min="9" max="9" width="18" customWidth="1"/>
    <col min="10" max="10" width="26" customWidth="1"/>
    <col min="11" max="11" width="16" customWidth="1"/>
  </cols>
  <sheetData>
    <row r="1" spans="1:11" ht="25.05" customHeight="1" x14ac:dyDescent="0.3">
      <c r="A1" s="39" t="s">
        <v>35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8" customHeight="1" x14ac:dyDescent="0.3">
      <c r="A2" s="38" t="s">
        <v>36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4" spans="1:11" ht="24" customHeight="1" x14ac:dyDescent="0.3">
      <c r="A4" s="20" t="s">
        <v>20</v>
      </c>
      <c r="B4" s="20" t="s">
        <v>21</v>
      </c>
      <c r="C4" s="20" t="s">
        <v>22</v>
      </c>
      <c r="D4" s="20" t="s">
        <v>23</v>
      </c>
      <c r="E4" s="20" t="s">
        <v>24</v>
      </c>
      <c r="F4" s="20" t="s">
        <v>25</v>
      </c>
      <c r="G4" s="20" t="s">
        <v>26</v>
      </c>
      <c r="H4" s="20" t="s">
        <v>27</v>
      </c>
      <c r="I4" s="20" t="s">
        <v>28</v>
      </c>
      <c r="J4" s="20" t="s">
        <v>29</v>
      </c>
      <c r="K4" s="20" t="s">
        <v>30</v>
      </c>
    </row>
    <row r="5" spans="1:11" ht="40.049999999999997" customHeight="1" x14ac:dyDescent="0.3">
      <c r="A5" s="12" t="str">
        <f>'Master KPI Data'!A18</f>
        <v>DI-01</v>
      </c>
      <c r="B5" s="13" t="str">
        <f>'Master KPI Data'!C18</f>
        <v>Digital Portal &amp; LMS Adoption Rate</v>
      </c>
      <c r="C5" s="13" t="str">
        <f>'Master KPI Data'!D18</f>
        <v>Automated LMS activity logs tracking staff and student daily login, assignment submission, and resource access.</v>
      </c>
      <c r="D5" s="13" t="str">
        <f>'Master KPI Data'!E18</f>
        <v>(Active Weekly LMS Users ÷ Total Staff &amp; Students) × 100</v>
      </c>
      <c r="E5" s="13" t="str">
        <f>'Master KPI Data'!F18</f>
        <v>LMS System Usage Analytics Report</v>
      </c>
      <c r="F5" s="1">
        <f>'Master KPI Data'!G18</f>
        <v>0.9</v>
      </c>
      <c r="G5" s="1">
        <f>'Master KPI Data'!H18</f>
        <v>0.94</v>
      </c>
      <c r="H5" s="14">
        <f>'Master KPI Data'!I18</f>
        <v>1.0444444444444443</v>
      </c>
      <c r="I5" s="15" t="str">
        <f>'Master KPI Data'!J18</f>
        <v>ON TRACK</v>
      </c>
      <c r="J5" s="13" t="str">
        <f>'Master KPI Data'!K18</f>
        <v>IT Consultant</v>
      </c>
      <c r="K5" s="12" t="str">
        <f>'Master KPI Data'!L18</f>
        <v>Weekly</v>
      </c>
    </row>
    <row r="6" spans="1:11" ht="40.049999999999997" customHeight="1" x14ac:dyDescent="0.3">
      <c r="A6" s="12" t="str">
        <f>'Master KPI Data'!A19</f>
        <v>DI-02</v>
      </c>
      <c r="B6" s="13" t="str">
        <f>'Master KPI Data'!C19</f>
        <v>Coding &amp; STEM Project Completion</v>
      </c>
      <c r="C6" s="13" t="str">
        <f>'Master KPI Data'!D19</f>
        <v>Assessment of student practical project submissions in computer coding, robotics, or design challenges.</v>
      </c>
      <c r="D6" s="13" t="str">
        <f>'Master KPI Data'!E19</f>
        <v>(Students Completing Approved STEM Project ÷ Total Enrolled) × 100</v>
      </c>
      <c r="E6" s="13" t="str">
        <f>'Master KPI Data'!F19</f>
        <v>STEM &amp; Coding Project Assessment Rubric</v>
      </c>
      <c r="F6" s="1">
        <f>'Master KPI Data'!G19</f>
        <v>0.85</v>
      </c>
      <c r="G6" s="1">
        <f>'Master KPI Data'!H19</f>
        <v>0.87</v>
      </c>
      <c r="H6" s="14">
        <f>'Master KPI Data'!I19</f>
        <v>1.0235294117647058</v>
      </c>
      <c r="I6" s="15" t="str">
        <f>'Master KPI Data'!J19</f>
        <v>ON TRACK</v>
      </c>
      <c r="J6" s="13" t="str">
        <f>'Master KPI Data'!K19</f>
        <v>STEM Coordinator</v>
      </c>
      <c r="K6" s="12" t="str">
        <f>'Master KPI Data'!L19</f>
        <v>Termly</v>
      </c>
    </row>
    <row r="7" spans="1:11" ht="40.049999999999997" customHeight="1" x14ac:dyDescent="0.3">
      <c r="A7" s="12" t="str">
        <f>'Master KPI Data'!A20</f>
        <v>DI-03</v>
      </c>
      <c r="B7" s="13" t="str">
        <f>'Master KPI Data'!C20</f>
        <v>AI &amp; Digital Ethics Compliance</v>
      </c>
      <c r="C7" s="13" t="str">
        <f>'Master KPI Data'!D20</f>
        <v>Audit of student digital submissions for academic integrity, AI disclosure, and cybersecurity guidelines.</v>
      </c>
      <c r="D7" s="13" t="str">
        <f>'Master KPI Data'!E20</f>
        <v>(Audited Assignments Free of Uncredited AI / Tech Violations ÷ Total Audited) × 100</v>
      </c>
      <c r="E7" s="13" t="str">
        <f>'Master KPI Data'!F20</f>
        <v>Digital Integrity Audit Log &amp; AI Detector Check</v>
      </c>
      <c r="F7" s="1">
        <f>'Master KPI Data'!G20</f>
        <v>0.95</v>
      </c>
      <c r="G7" s="1">
        <f>'Master KPI Data'!H20</f>
        <v>0.96</v>
      </c>
      <c r="H7" s="14">
        <f>'Master KPI Data'!I20</f>
        <v>1.0105263157894737</v>
      </c>
      <c r="I7" s="15" t="str">
        <f>'Master KPI Data'!J20</f>
        <v>ON TRACK</v>
      </c>
      <c r="J7" s="13" t="str">
        <f>'Master KPI Data'!K20</f>
        <v>IT Consultant</v>
      </c>
      <c r="K7" s="12" t="str">
        <f>'Master KPI Data'!L20</f>
        <v>Termly</v>
      </c>
    </row>
    <row r="8" spans="1:11" ht="40.049999999999997" customHeight="1" x14ac:dyDescent="0.3">
      <c r="A8" s="12" t="str">
        <f>'Master KPI Data'!A21</f>
        <v>DI-04</v>
      </c>
      <c r="B8" s="13" t="str">
        <f>'Master KPI Data'!C21</f>
        <v>Staff Digital Competency Mastery</v>
      </c>
      <c r="C8" s="13" t="str">
        <f>'Master KPI Data'!D21</f>
        <v>Termly practical evaluation of teaching staff in digital tool integration, e-assessment, and smart board use.</v>
      </c>
      <c r="D8" s="13" t="str">
        <f>'Master KPI Data'!E21</f>
        <v>(Staff Demonstrating Level 3+ Digital Competence ÷ Total Staff) × 100</v>
      </c>
      <c r="E8" s="13" t="str">
        <f>'Master KPI Data'!F21</f>
        <v>Teacher Digital Skills Proficiency Matrix</v>
      </c>
      <c r="F8" s="1">
        <f>'Master KPI Data'!G21</f>
        <v>0.85</v>
      </c>
      <c r="G8" s="1">
        <f>'Master KPI Data'!H21</f>
        <v>0.78</v>
      </c>
      <c r="H8" s="14">
        <f>'Master KPI Data'!I21</f>
        <v>0.91764705882352948</v>
      </c>
      <c r="I8" s="15" t="str">
        <f>'Master KPI Data'!J21</f>
        <v>NEEDS ATTENTION</v>
      </c>
      <c r="J8" s="13" t="str">
        <f>'Master KPI Data'!K21</f>
        <v>HoS</v>
      </c>
      <c r="K8" s="12" t="str">
        <f>'Master KPI Data'!L21</f>
        <v>Termly</v>
      </c>
    </row>
    <row r="9" spans="1:11" ht="40.049999999999997" customHeight="1" x14ac:dyDescent="0.3">
      <c r="A9" s="12" t="str">
        <f>'Master KPI Data'!A22</f>
        <v>DI-05</v>
      </c>
      <c r="B9" s="13" t="str">
        <f>'Master KPI Data'!C22</f>
        <v>E-Portfolio &amp; Digital Assessment Usage</v>
      </c>
      <c r="C9" s="13" t="str">
        <f>'Master KPI Data'!D22</f>
        <v>Verification of digital continuous assessment tasks and student e-portfolio updates.</v>
      </c>
      <c r="D9" s="13" t="str">
        <f>'Master KPI Data'!E22</f>
        <v>(Subjects Utilizing E-Assessment Tools ÷ Total Subjects Offered) × 100</v>
      </c>
      <c r="E9" s="13" t="str">
        <f>'Master KPI Data'!F22</f>
        <v>Academic Portal Assessment Audit</v>
      </c>
      <c r="F9" s="1">
        <f>'Master KPI Data'!G22</f>
        <v>0.8</v>
      </c>
      <c r="G9" s="1">
        <f>'Master KPI Data'!H22</f>
        <v>0.83</v>
      </c>
      <c r="H9" s="14">
        <f>'Master KPI Data'!I22</f>
        <v>1.0374999999999999</v>
      </c>
      <c r="I9" s="15" t="str">
        <f>'Master KPI Data'!J22</f>
        <v>ON TRACK</v>
      </c>
      <c r="J9" s="13" t="str">
        <f>'Master KPI Data'!K22</f>
        <v>HoS</v>
      </c>
      <c r="K9" s="12" t="str">
        <f>'Master KPI Data'!L22</f>
        <v>Termly</v>
      </c>
    </row>
    <row r="10" spans="1:11" ht="40.049999999999997" customHeight="1" x14ac:dyDescent="0.3">
      <c r="A10" s="12" t="str">
        <f>'Master KPI Data'!A23</f>
        <v>DI-06</v>
      </c>
      <c r="B10" s="13" t="str">
        <f>'Master KPI Data'!C23</f>
        <v>Parent Portal Engagement Rate</v>
      </c>
      <c r="C10" s="13" t="str">
        <f>'Master KPI Data'!D23</f>
        <v>System log tracking unique parent logins to inspect report cards, attendance, and fee status.</v>
      </c>
      <c r="D10" s="13" t="str">
        <f>'Master KPI Data'!E23</f>
        <v>(Unique Active Parent Portal Logins ÷ Total Enrolled Families) × 100</v>
      </c>
      <c r="E10" s="13" t="str">
        <f>'Master KPI Data'!F23</f>
        <v>Parent Portal System Analytics</v>
      </c>
      <c r="F10" s="1">
        <f>'Master KPI Data'!G23</f>
        <v>0.8</v>
      </c>
      <c r="G10" s="1">
        <f>'Master KPI Data'!H23</f>
        <v>0.82</v>
      </c>
      <c r="H10" s="14">
        <f>'Master KPI Data'!I23</f>
        <v>1.0249999999999999</v>
      </c>
      <c r="I10" s="15" t="str">
        <f>'Master KPI Data'!J23</f>
        <v>ON TRACK</v>
      </c>
      <c r="J10" s="13" t="str">
        <f>'Master KPI Data'!K23</f>
        <v>IT Consultant</v>
      </c>
      <c r="K10" s="12" t="str">
        <f>'Master KPI Data'!L23</f>
        <v>Monthly</v>
      </c>
    </row>
    <row r="13" spans="1:11" x14ac:dyDescent="0.3">
      <c r="B13" s="16" t="s">
        <v>31</v>
      </c>
      <c r="C13" s="1"/>
      <c r="D13" s="1"/>
      <c r="E13" s="1"/>
      <c r="F13" s="1"/>
      <c r="G13" s="4" t="s">
        <v>32</v>
      </c>
      <c r="H13" s="17">
        <f>AVERAGE(H5:H10)</f>
        <v>1.0097745384703589</v>
      </c>
      <c r="I13" s="18" t="str">
        <f>IF(H13&gt;=1,"EXCEEDING",IF(H13&gt;=0.9,"ON TRACK","NEEDS ATTENTION"))</f>
        <v>EXCEEDING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3"/>
  <sheetViews>
    <sheetView topLeftCell="E18" workbookViewId="0">
      <selection activeCell="K24" sqref="K24"/>
    </sheetView>
  </sheetViews>
  <sheetFormatPr defaultRowHeight="14.4" x14ac:dyDescent="0.3"/>
  <cols>
    <col min="1" max="1" width="12" customWidth="1"/>
    <col min="2" max="2" width="24" customWidth="1"/>
    <col min="3" max="3" width="38" customWidth="1"/>
    <col min="4" max="4" width="45" customWidth="1"/>
    <col min="5" max="5" width="38" customWidth="1"/>
    <col min="6" max="6" width="36" customWidth="1"/>
    <col min="7" max="8" width="12" customWidth="1"/>
    <col min="9" max="9" width="16" customWidth="1"/>
    <col min="10" max="10" width="18" customWidth="1"/>
    <col min="11" max="11" width="31.33203125" bestFit="1" customWidth="1"/>
    <col min="12" max="12" width="16" customWidth="1"/>
  </cols>
  <sheetData>
    <row r="1" spans="1:12" ht="23.4" x14ac:dyDescent="0.3">
      <c r="A1" s="33" t="s">
        <v>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3">
      <c r="A2" s="3" t="s">
        <v>20</v>
      </c>
      <c r="B2" s="3" t="s">
        <v>38</v>
      </c>
      <c r="C2" s="3" t="s">
        <v>39</v>
      </c>
      <c r="D2" s="3" t="s">
        <v>22</v>
      </c>
      <c r="E2" s="3" t="s">
        <v>40</v>
      </c>
      <c r="F2" s="3" t="s">
        <v>24</v>
      </c>
      <c r="G2" s="3" t="s">
        <v>25</v>
      </c>
      <c r="H2" s="3" t="s">
        <v>26</v>
      </c>
      <c r="I2" s="3" t="s">
        <v>41</v>
      </c>
      <c r="J2" s="3" t="s">
        <v>28</v>
      </c>
      <c r="K2" s="3" t="s">
        <v>42</v>
      </c>
      <c r="L2" s="3" t="s">
        <v>30</v>
      </c>
    </row>
    <row r="3" spans="1:12" ht="42" customHeight="1" x14ac:dyDescent="0.3">
      <c r="A3" s="12" t="s">
        <v>43</v>
      </c>
      <c r="B3" s="13" t="s">
        <v>14</v>
      </c>
      <c r="C3" s="21" t="s">
        <v>44</v>
      </c>
      <c r="D3" s="21" t="s">
        <v>45</v>
      </c>
      <c r="E3" s="21" t="s">
        <v>46</v>
      </c>
      <c r="F3" s="21" t="s">
        <v>47</v>
      </c>
      <c r="G3" s="22">
        <v>1</v>
      </c>
      <c r="H3" s="22">
        <v>0.96</v>
      </c>
      <c r="I3" s="22">
        <f t="shared" ref="I3:I23" si="0">H3/G3</f>
        <v>0.96</v>
      </c>
      <c r="J3" s="12" t="str">
        <f t="shared" ref="J3:J23" si="1">IF(I3&gt;=1,"ON TRACK",IF(I3&gt;=0.9,"NEEDS ATTENTION","OFF TRACK"))</f>
        <v>NEEDS ATTENTION</v>
      </c>
      <c r="K3" s="13" t="s">
        <v>160</v>
      </c>
      <c r="L3" s="12" t="s">
        <v>48</v>
      </c>
    </row>
    <row r="4" spans="1:12" ht="42" customHeight="1" x14ac:dyDescent="0.3">
      <c r="A4" s="12" t="s">
        <v>49</v>
      </c>
      <c r="B4" s="13" t="s">
        <v>14</v>
      </c>
      <c r="C4" s="21" t="s">
        <v>50</v>
      </c>
      <c r="D4" s="21" t="s">
        <v>51</v>
      </c>
      <c r="E4" s="21" t="s">
        <v>52</v>
      </c>
      <c r="F4" s="21" t="s">
        <v>53</v>
      </c>
      <c r="G4" s="22">
        <v>0.9</v>
      </c>
      <c r="H4" s="22">
        <v>0.92</v>
      </c>
      <c r="I4" s="22">
        <f t="shared" si="0"/>
        <v>1.0222222222222221</v>
      </c>
      <c r="J4" s="12" t="str">
        <f t="shared" si="1"/>
        <v>ON TRACK</v>
      </c>
      <c r="K4" s="13" t="s">
        <v>161</v>
      </c>
      <c r="L4" s="12" t="s">
        <v>54</v>
      </c>
    </row>
    <row r="5" spans="1:12" ht="42" customHeight="1" x14ac:dyDescent="0.3">
      <c r="A5" s="12" t="s">
        <v>55</v>
      </c>
      <c r="B5" s="13" t="s">
        <v>14</v>
      </c>
      <c r="C5" s="21" t="s">
        <v>56</v>
      </c>
      <c r="D5" s="21" t="s">
        <v>57</v>
      </c>
      <c r="E5" s="21" t="s">
        <v>58</v>
      </c>
      <c r="F5" s="21" t="s">
        <v>59</v>
      </c>
      <c r="G5" s="22">
        <v>0.95</v>
      </c>
      <c r="H5" s="22">
        <v>0.94</v>
      </c>
      <c r="I5" s="22">
        <f t="shared" si="0"/>
        <v>0.98947368421052628</v>
      </c>
      <c r="J5" s="12" t="str">
        <f t="shared" si="1"/>
        <v>NEEDS ATTENTION</v>
      </c>
      <c r="K5" s="13" t="s">
        <v>162</v>
      </c>
      <c r="L5" s="12" t="s">
        <v>60</v>
      </c>
    </row>
    <row r="6" spans="1:12" ht="42" customHeight="1" x14ac:dyDescent="0.3">
      <c r="A6" s="12" t="s">
        <v>61</v>
      </c>
      <c r="B6" s="13" t="s">
        <v>14</v>
      </c>
      <c r="C6" s="21" t="s">
        <v>62</v>
      </c>
      <c r="D6" s="21" t="s">
        <v>63</v>
      </c>
      <c r="E6" s="21" t="s">
        <v>64</v>
      </c>
      <c r="F6" s="21" t="s">
        <v>65</v>
      </c>
      <c r="G6" s="22">
        <v>0.95</v>
      </c>
      <c r="H6" s="22">
        <v>0.96499999999999997</v>
      </c>
      <c r="I6" s="22">
        <f t="shared" si="0"/>
        <v>1.0157894736842106</v>
      </c>
      <c r="J6" s="12" t="str">
        <f t="shared" si="1"/>
        <v>ON TRACK</v>
      </c>
      <c r="K6" s="13" t="s">
        <v>163</v>
      </c>
      <c r="L6" s="12" t="s">
        <v>60</v>
      </c>
    </row>
    <row r="7" spans="1:12" ht="42" customHeight="1" x14ac:dyDescent="0.3">
      <c r="A7" s="12" t="s">
        <v>66</v>
      </c>
      <c r="B7" s="13" t="s">
        <v>14</v>
      </c>
      <c r="C7" s="21" t="s">
        <v>67</v>
      </c>
      <c r="D7" s="21" t="s">
        <v>68</v>
      </c>
      <c r="E7" s="21" t="s">
        <v>69</v>
      </c>
      <c r="F7" s="21" t="s">
        <v>70</v>
      </c>
      <c r="G7" s="22">
        <v>1</v>
      </c>
      <c r="H7" s="22">
        <v>0.98</v>
      </c>
      <c r="I7" s="22">
        <f t="shared" si="0"/>
        <v>0.98</v>
      </c>
      <c r="J7" s="12" t="str">
        <f t="shared" si="1"/>
        <v>NEEDS ATTENTION</v>
      </c>
      <c r="K7" s="13" t="s">
        <v>161</v>
      </c>
      <c r="L7" s="12" t="s">
        <v>60</v>
      </c>
    </row>
    <row r="8" spans="1:12" ht="42" customHeight="1" x14ac:dyDescent="0.3">
      <c r="A8" s="12" t="s">
        <v>71</v>
      </c>
      <c r="B8" s="13" t="s">
        <v>14</v>
      </c>
      <c r="C8" s="21" t="s">
        <v>72</v>
      </c>
      <c r="D8" s="21" t="s">
        <v>73</v>
      </c>
      <c r="E8" s="21" t="s">
        <v>74</v>
      </c>
      <c r="F8" s="21" t="s">
        <v>75</v>
      </c>
      <c r="G8" s="22">
        <v>0.9</v>
      </c>
      <c r="H8" s="22">
        <v>0.88</v>
      </c>
      <c r="I8" s="22">
        <f t="shared" si="0"/>
        <v>0.97777777777777775</v>
      </c>
      <c r="J8" s="12" t="str">
        <f t="shared" si="1"/>
        <v>NEEDS ATTENTION</v>
      </c>
      <c r="K8" s="13" t="s">
        <v>164</v>
      </c>
      <c r="L8" s="12" t="s">
        <v>54</v>
      </c>
    </row>
    <row r="9" spans="1:12" ht="42" customHeight="1" x14ac:dyDescent="0.3">
      <c r="A9" s="12" t="s">
        <v>76</v>
      </c>
      <c r="B9" s="13" t="s">
        <v>14</v>
      </c>
      <c r="C9" s="21" t="s">
        <v>77</v>
      </c>
      <c r="D9" s="21" t="s">
        <v>78</v>
      </c>
      <c r="E9" s="21" t="s">
        <v>79</v>
      </c>
      <c r="F9" s="21" t="s">
        <v>80</v>
      </c>
      <c r="G9" s="22">
        <v>1</v>
      </c>
      <c r="H9" s="22">
        <v>1</v>
      </c>
      <c r="I9" s="22">
        <f t="shared" si="0"/>
        <v>1</v>
      </c>
      <c r="J9" s="12" t="str">
        <f t="shared" si="1"/>
        <v>ON TRACK</v>
      </c>
      <c r="K9" s="13" t="s">
        <v>81</v>
      </c>
      <c r="L9" s="12" t="s">
        <v>82</v>
      </c>
    </row>
    <row r="10" spans="1:12" ht="42" customHeight="1" x14ac:dyDescent="0.3">
      <c r="A10" s="12" t="s">
        <v>83</v>
      </c>
      <c r="B10" s="13" t="s">
        <v>14</v>
      </c>
      <c r="C10" s="21" t="s">
        <v>84</v>
      </c>
      <c r="D10" s="21" t="s">
        <v>85</v>
      </c>
      <c r="E10" s="21" t="s">
        <v>86</v>
      </c>
      <c r="F10" s="21" t="s">
        <v>87</v>
      </c>
      <c r="G10" s="22">
        <v>0.85</v>
      </c>
      <c r="H10" s="22">
        <v>0.82</v>
      </c>
      <c r="I10" s="22">
        <f t="shared" si="0"/>
        <v>0.96470588235294119</v>
      </c>
      <c r="J10" s="12" t="str">
        <f t="shared" si="1"/>
        <v>NEEDS ATTENTION</v>
      </c>
      <c r="K10" s="13" t="s">
        <v>88</v>
      </c>
      <c r="L10" s="12" t="s">
        <v>54</v>
      </c>
    </row>
    <row r="11" spans="1:12" ht="42" customHeight="1" x14ac:dyDescent="0.3">
      <c r="A11" s="12" t="s">
        <v>89</v>
      </c>
      <c r="B11" s="13" t="s">
        <v>15</v>
      </c>
      <c r="C11" s="21" t="s">
        <v>90</v>
      </c>
      <c r="D11" s="21" t="s">
        <v>91</v>
      </c>
      <c r="E11" s="21" t="s">
        <v>92</v>
      </c>
      <c r="F11" s="21" t="s">
        <v>93</v>
      </c>
      <c r="G11" s="22">
        <v>0.95</v>
      </c>
      <c r="H11" s="22">
        <v>0.97</v>
      </c>
      <c r="I11" s="22">
        <f t="shared" si="0"/>
        <v>1.0210526315789474</v>
      </c>
      <c r="J11" s="12" t="str">
        <f t="shared" si="1"/>
        <v>ON TRACK</v>
      </c>
      <c r="K11" s="13" t="s">
        <v>94</v>
      </c>
      <c r="L11" s="12" t="s">
        <v>95</v>
      </c>
    </row>
    <row r="12" spans="1:12" ht="42" customHeight="1" x14ac:dyDescent="0.3">
      <c r="A12" s="12" t="s">
        <v>96</v>
      </c>
      <c r="B12" s="13" t="s">
        <v>15</v>
      </c>
      <c r="C12" s="21" t="s">
        <v>97</v>
      </c>
      <c r="D12" s="21" t="s">
        <v>98</v>
      </c>
      <c r="E12" s="21" t="s">
        <v>99</v>
      </c>
      <c r="F12" s="21" t="s">
        <v>100</v>
      </c>
      <c r="G12" s="22">
        <v>0.85</v>
      </c>
      <c r="H12" s="22">
        <v>0.88</v>
      </c>
      <c r="I12" s="22">
        <f t="shared" si="0"/>
        <v>1.0352941176470589</v>
      </c>
      <c r="J12" s="12" t="str">
        <f t="shared" si="1"/>
        <v>ON TRACK</v>
      </c>
      <c r="K12" s="13" t="s">
        <v>101</v>
      </c>
      <c r="L12" s="12" t="s">
        <v>54</v>
      </c>
    </row>
    <row r="13" spans="1:12" ht="42" customHeight="1" x14ac:dyDescent="0.3">
      <c r="A13" s="12" t="s">
        <v>102</v>
      </c>
      <c r="B13" s="13" t="s">
        <v>15</v>
      </c>
      <c r="C13" s="21" t="s">
        <v>103</v>
      </c>
      <c r="D13" s="21" t="s">
        <v>104</v>
      </c>
      <c r="E13" s="21" t="s">
        <v>105</v>
      </c>
      <c r="F13" s="21" t="s">
        <v>106</v>
      </c>
      <c r="G13" s="23">
        <v>10</v>
      </c>
      <c r="H13" s="23">
        <v>9.5</v>
      </c>
      <c r="I13" s="22">
        <f t="shared" si="0"/>
        <v>0.95</v>
      </c>
      <c r="J13" s="12" t="str">
        <f t="shared" si="1"/>
        <v>NEEDS ATTENTION</v>
      </c>
      <c r="K13" s="13" t="s">
        <v>107</v>
      </c>
      <c r="L13" s="12" t="s">
        <v>54</v>
      </c>
    </row>
    <row r="14" spans="1:12" ht="42" customHeight="1" x14ac:dyDescent="0.3">
      <c r="A14" s="12" t="s">
        <v>108</v>
      </c>
      <c r="B14" s="13" t="s">
        <v>15</v>
      </c>
      <c r="C14" s="21" t="s">
        <v>109</v>
      </c>
      <c r="D14" s="21" t="s">
        <v>110</v>
      </c>
      <c r="E14" s="21" t="s">
        <v>111</v>
      </c>
      <c r="F14" s="21" t="s">
        <v>112</v>
      </c>
      <c r="G14" s="22">
        <v>0.9</v>
      </c>
      <c r="H14" s="22">
        <v>0.93</v>
      </c>
      <c r="I14" s="22">
        <f t="shared" si="0"/>
        <v>1.0333333333333334</v>
      </c>
      <c r="J14" s="12" t="str">
        <f t="shared" si="1"/>
        <v>ON TRACK</v>
      </c>
      <c r="K14" s="13" t="s">
        <v>165</v>
      </c>
      <c r="L14" s="12" t="s">
        <v>82</v>
      </c>
    </row>
    <row r="15" spans="1:12" ht="42" customHeight="1" x14ac:dyDescent="0.3">
      <c r="A15" s="12" t="s">
        <v>113</v>
      </c>
      <c r="B15" s="13" t="s">
        <v>15</v>
      </c>
      <c r="C15" s="21" t="s">
        <v>114</v>
      </c>
      <c r="D15" s="21" t="s">
        <v>115</v>
      </c>
      <c r="E15" s="21" t="s">
        <v>116</v>
      </c>
      <c r="F15" s="21" t="s">
        <v>117</v>
      </c>
      <c r="G15" s="22">
        <v>1</v>
      </c>
      <c r="H15" s="22">
        <v>1</v>
      </c>
      <c r="I15" s="22">
        <f t="shared" si="0"/>
        <v>1</v>
      </c>
      <c r="J15" s="12" t="str">
        <f t="shared" si="1"/>
        <v>ON TRACK</v>
      </c>
      <c r="K15" s="13" t="s">
        <v>166</v>
      </c>
      <c r="L15" s="12" t="s">
        <v>82</v>
      </c>
    </row>
    <row r="16" spans="1:12" ht="42" customHeight="1" x14ac:dyDescent="0.3">
      <c r="A16" s="12" t="s">
        <v>118</v>
      </c>
      <c r="B16" s="13" t="s">
        <v>15</v>
      </c>
      <c r="C16" s="21" t="s">
        <v>119</v>
      </c>
      <c r="D16" s="21" t="s">
        <v>120</v>
      </c>
      <c r="E16" s="21" t="s">
        <v>121</v>
      </c>
      <c r="F16" s="21" t="s">
        <v>122</v>
      </c>
      <c r="G16" s="22">
        <v>0.85</v>
      </c>
      <c r="H16" s="22">
        <v>0.8</v>
      </c>
      <c r="I16" s="22">
        <f t="shared" si="0"/>
        <v>0.94117647058823539</v>
      </c>
      <c r="J16" s="12" t="str">
        <f t="shared" si="1"/>
        <v>NEEDS ATTENTION</v>
      </c>
      <c r="K16" s="13" t="s">
        <v>167</v>
      </c>
      <c r="L16" s="12" t="s">
        <v>54</v>
      </c>
    </row>
    <row r="17" spans="1:12" ht="42" customHeight="1" x14ac:dyDescent="0.3">
      <c r="A17" s="12" t="s">
        <v>123</v>
      </c>
      <c r="B17" s="13" t="s">
        <v>15</v>
      </c>
      <c r="C17" s="21" t="s">
        <v>124</v>
      </c>
      <c r="D17" s="21" t="s">
        <v>125</v>
      </c>
      <c r="E17" s="21" t="s">
        <v>126</v>
      </c>
      <c r="F17" s="21" t="s">
        <v>127</v>
      </c>
      <c r="G17" s="22">
        <v>0.85</v>
      </c>
      <c r="H17" s="22">
        <v>0.89</v>
      </c>
      <c r="I17" s="22">
        <f t="shared" si="0"/>
        <v>1.0470588235294118</v>
      </c>
      <c r="J17" s="12" t="str">
        <f t="shared" si="1"/>
        <v>ON TRACK</v>
      </c>
      <c r="K17" s="13" t="s">
        <v>128</v>
      </c>
      <c r="L17" s="12" t="s">
        <v>54</v>
      </c>
    </row>
    <row r="18" spans="1:12" ht="42" customHeight="1" x14ac:dyDescent="0.3">
      <c r="A18" s="12" t="s">
        <v>129</v>
      </c>
      <c r="B18" s="13" t="s">
        <v>16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2">
        <v>0.9</v>
      </c>
      <c r="H18" s="22">
        <v>0.94</v>
      </c>
      <c r="I18" s="22">
        <f t="shared" si="0"/>
        <v>1.0444444444444443</v>
      </c>
      <c r="J18" s="12" t="str">
        <f t="shared" si="1"/>
        <v>ON TRACK</v>
      </c>
      <c r="K18" s="13" t="s">
        <v>168</v>
      </c>
      <c r="L18" s="12" t="s">
        <v>60</v>
      </c>
    </row>
    <row r="19" spans="1:12" ht="42" customHeight="1" x14ac:dyDescent="0.3">
      <c r="A19" s="12" t="s">
        <v>134</v>
      </c>
      <c r="B19" s="13" t="s">
        <v>16</v>
      </c>
      <c r="C19" s="21" t="s">
        <v>135</v>
      </c>
      <c r="D19" s="21" t="s">
        <v>136</v>
      </c>
      <c r="E19" s="21" t="s">
        <v>137</v>
      </c>
      <c r="F19" s="21" t="s">
        <v>138</v>
      </c>
      <c r="G19" s="22">
        <v>0.85</v>
      </c>
      <c r="H19" s="22">
        <v>0.87</v>
      </c>
      <c r="I19" s="22">
        <f t="shared" si="0"/>
        <v>1.0235294117647058</v>
      </c>
      <c r="J19" s="12" t="str">
        <f t="shared" si="1"/>
        <v>ON TRACK</v>
      </c>
      <c r="K19" s="13" t="s">
        <v>139</v>
      </c>
      <c r="L19" s="12" t="s">
        <v>54</v>
      </c>
    </row>
    <row r="20" spans="1:12" ht="42" customHeight="1" x14ac:dyDescent="0.3">
      <c r="A20" s="12" t="s">
        <v>140</v>
      </c>
      <c r="B20" s="13" t="s">
        <v>16</v>
      </c>
      <c r="C20" s="21" t="s">
        <v>141</v>
      </c>
      <c r="D20" s="21" t="s">
        <v>142</v>
      </c>
      <c r="E20" s="21" t="s">
        <v>143</v>
      </c>
      <c r="F20" s="21" t="s">
        <v>144</v>
      </c>
      <c r="G20" s="22">
        <v>0.95</v>
      </c>
      <c r="H20" s="22">
        <v>0.96</v>
      </c>
      <c r="I20" s="22">
        <f t="shared" si="0"/>
        <v>1.0105263157894737</v>
      </c>
      <c r="J20" s="12" t="str">
        <f t="shared" si="1"/>
        <v>ON TRACK</v>
      </c>
      <c r="K20" s="13" t="s">
        <v>168</v>
      </c>
      <c r="L20" s="12" t="s">
        <v>54</v>
      </c>
    </row>
    <row r="21" spans="1:12" ht="42" customHeight="1" x14ac:dyDescent="0.3">
      <c r="A21" s="12" t="s">
        <v>145</v>
      </c>
      <c r="B21" s="13" t="s">
        <v>16</v>
      </c>
      <c r="C21" s="21" t="s">
        <v>146</v>
      </c>
      <c r="D21" s="21" t="s">
        <v>147</v>
      </c>
      <c r="E21" s="21" t="s">
        <v>148</v>
      </c>
      <c r="F21" s="21" t="s">
        <v>149</v>
      </c>
      <c r="G21" s="22">
        <v>0.85</v>
      </c>
      <c r="H21" s="22">
        <v>0.78</v>
      </c>
      <c r="I21" s="22">
        <f t="shared" si="0"/>
        <v>0.91764705882352948</v>
      </c>
      <c r="J21" s="12" t="str">
        <f t="shared" si="1"/>
        <v>NEEDS ATTENTION</v>
      </c>
      <c r="K21" s="13" t="s">
        <v>165</v>
      </c>
      <c r="L21" s="12" t="s">
        <v>54</v>
      </c>
    </row>
    <row r="22" spans="1:12" ht="42" customHeight="1" x14ac:dyDescent="0.3">
      <c r="A22" s="12" t="s">
        <v>150</v>
      </c>
      <c r="B22" s="13" t="s">
        <v>16</v>
      </c>
      <c r="C22" s="21" t="s">
        <v>151</v>
      </c>
      <c r="D22" s="21" t="s">
        <v>152</v>
      </c>
      <c r="E22" s="21" t="s">
        <v>153</v>
      </c>
      <c r="F22" s="21" t="s">
        <v>154</v>
      </c>
      <c r="G22" s="22">
        <v>0.8</v>
      </c>
      <c r="H22" s="22">
        <v>0.83</v>
      </c>
      <c r="I22" s="22">
        <f t="shared" si="0"/>
        <v>1.0374999999999999</v>
      </c>
      <c r="J22" s="12" t="str">
        <f t="shared" si="1"/>
        <v>ON TRACK</v>
      </c>
      <c r="K22" s="13" t="s">
        <v>165</v>
      </c>
      <c r="L22" s="12" t="s">
        <v>54</v>
      </c>
    </row>
    <row r="23" spans="1:12" ht="42" customHeight="1" x14ac:dyDescent="0.3">
      <c r="A23" s="12" t="s">
        <v>155</v>
      </c>
      <c r="B23" s="13" t="s">
        <v>16</v>
      </c>
      <c r="C23" s="21" t="s">
        <v>156</v>
      </c>
      <c r="D23" s="21" t="s">
        <v>157</v>
      </c>
      <c r="E23" s="21" t="s">
        <v>158</v>
      </c>
      <c r="F23" s="21" t="s">
        <v>159</v>
      </c>
      <c r="G23" s="22">
        <v>0.8</v>
      </c>
      <c r="H23" s="22">
        <v>0.82</v>
      </c>
      <c r="I23" s="22">
        <f t="shared" si="0"/>
        <v>1.0249999999999999</v>
      </c>
      <c r="J23" s="12" t="str">
        <f t="shared" si="1"/>
        <v>ON TRACK</v>
      </c>
      <c r="K23" s="13" t="s">
        <v>168</v>
      </c>
      <c r="L23" s="12" t="s">
        <v>82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Academic Excellence</vt:lpstr>
      <vt:lpstr>Christocentric Education</vt:lpstr>
      <vt:lpstr>Digital Innovation</vt:lpstr>
      <vt:lpstr>Master KPI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Solomon A. Igbayue</cp:lastModifiedBy>
  <dcterms:created xsi:type="dcterms:W3CDTF">2026-07-28T22:18:01Z</dcterms:created>
  <dcterms:modified xsi:type="dcterms:W3CDTF">2026-07-28T22:30:19Z</dcterms:modified>
</cp:coreProperties>
</file>